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ectrodata\Marcobre\Gestiona Marcobre\Marcobre-GestionAmbiental\GestionAmbiental\wwwroot\ExcelTemplates\Incidentes\Investigacion\"/>
    </mc:Choice>
  </mc:AlternateContent>
  <xr:revisionPtr revIDLastSave="0" documentId="13_ncr:1_{1C32B93B-B6F9-409E-8B8D-187F108DF00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FIA" sheetId="3" r:id="rId1"/>
    <sheet name="Tablas" sheetId="2" state="hidden" r:id="rId2"/>
    <sheet name="Causas" sheetId="4" state="hidden" r:id="rId3"/>
  </sheets>
  <definedNames>
    <definedName name="_xlnm.Print_Area" localSheetId="0">IFIA!$B$2:$AG$52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0" i="2" l="1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79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Olivia Valencia</author>
  </authors>
  <commentList>
    <comment ref="O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2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2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2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3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3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3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42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4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4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4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49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49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5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5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56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64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64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64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79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79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79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88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88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88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95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95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95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101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101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101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106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106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106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116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116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116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122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122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122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128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128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128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133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133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133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148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148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148" authorId="0" shapeId="0" xr:uid="{00000000-0006-0000-0100-000033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  <comment ref="O157" authorId="0" shapeId="0" xr:uid="{00000000-0006-0000-0100-000034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EI: Estándar Inadecuado.</t>
        </r>
      </text>
    </comment>
    <comment ref="P157" authorId="0" shapeId="0" xr:uid="{00000000-0006-0000-0100-000035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CI: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Cumplimiento inadecuado del estándar.</t>
        </r>
      </text>
    </comment>
    <comment ref="Q157" authorId="0" shapeId="0" xr:uid="{00000000-0006-0000-0100-000036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NP: No es parte del sistema</t>
        </r>
      </text>
    </comment>
  </commentList>
</comments>
</file>

<file path=xl/sharedStrings.xml><?xml version="1.0" encoding="utf-8"?>
<sst xmlns="http://schemas.openxmlformats.org/spreadsheetml/2006/main" count="1219" uniqueCount="723">
  <si>
    <t>Registro N°:</t>
  </si>
  <si>
    <t>Suelo</t>
  </si>
  <si>
    <t>Aire</t>
  </si>
  <si>
    <t>Flora</t>
  </si>
  <si>
    <t>Fauna</t>
  </si>
  <si>
    <t>Estatus</t>
  </si>
  <si>
    <t>Cerrado</t>
  </si>
  <si>
    <t>Área:</t>
  </si>
  <si>
    <t>Código:</t>
  </si>
  <si>
    <t>Versión:</t>
  </si>
  <si>
    <t>Fecha de Emisión:</t>
  </si>
  <si>
    <t>Fecha de elaboración:</t>
  </si>
  <si>
    <t xml:space="preserve">Tipo de Incidente/ Incidente Peligroso/ Accidente  de trabajo: </t>
  </si>
  <si>
    <t xml:space="preserve"> </t>
  </si>
  <si>
    <t>FACTORES DE TRABAJO</t>
  </si>
  <si>
    <t xml:space="preserve">Tipo I: Monitoreo de agua que excede los Límites Máximos Permisibles (LMP). </t>
  </si>
  <si>
    <t>1. Capacidad Física/Fisiológica Inadecuada</t>
  </si>
  <si>
    <t>8. Liderazgo y/o Supervisión Inadecuada</t>
  </si>
  <si>
    <t>1. LIDERAZGO Y ADMINISTRACION</t>
  </si>
  <si>
    <t xml:space="preserve">Tipo II: Fallas operativas en las letrinas y servicios químicos portátiles. </t>
  </si>
  <si>
    <t>1.1 Altura, peso, talla, fuerza, alcance, etc., inapropiados</t>
  </si>
  <si>
    <t>8.1 Relaciones jerárquicas poco claras o conflictiva</t>
  </si>
  <si>
    <t>Política General</t>
  </si>
  <si>
    <t xml:space="preserve">Tipo III: Monitoreo de aire, ruido y vibraciones que excede los Límites Máximos Permisibles (LMP).  </t>
  </si>
  <si>
    <t>1.2 Movimiento corporal limitado</t>
  </si>
  <si>
    <t>8.2 Asignación de responsabilidad poco clara o conflictiva</t>
  </si>
  <si>
    <t>Coordinador de Control de Pérdidas.</t>
  </si>
  <si>
    <t xml:space="preserve">Tipo IV: Falta de riego de accesos. </t>
  </si>
  <si>
    <t>1.3 Capacidad limitada para sostener posiciones corporales</t>
  </si>
  <si>
    <t>8.3 Delegación insuficiente o inadecuada</t>
  </si>
  <si>
    <t>Participación de Gerencia Superior y Media</t>
  </si>
  <si>
    <t xml:space="preserve">Tipo V: Derrame de hidrocarburos y productos químicos. </t>
  </si>
  <si>
    <t>1.4 Sensibilidad a sustancias o alergias</t>
  </si>
  <si>
    <t>8.4 Dar políticas, procedimientos, practicas o pautas de acción inadecuadas</t>
  </si>
  <si>
    <t>Estándares de Desempeño de Control de Gerencial</t>
  </si>
  <si>
    <t xml:space="preserve">Tipo VI: Erosión significativa del suelo. </t>
  </si>
  <si>
    <t>1.5 Sensibilidad a extremos sensoriales (temperatura, ruido, etc.)</t>
  </si>
  <si>
    <t>8.5 Dar objetivos, metas o normas contradictorias</t>
  </si>
  <si>
    <t>Participación de Actividades de Control de Pérdidas</t>
  </si>
  <si>
    <t xml:space="preserve">Tipo VII: Inexistencia o fallas en el sistema de almacenamiento del Top Soil </t>
  </si>
  <si>
    <t>1.6 Deficiencia visual</t>
  </si>
  <si>
    <t>8.6 Programación o planificación inadecuada de trabajo</t>
  </si>
  <si>
    <t>Reuniones de Gerencia</t>
  </si>
  <si>
    <t xml:space="preserve">Tipo VIII: Areas abondonadas sin trabajos de rehabilitación.  </t>
  </si>
  <si>
    <t>1.7 Deficiencia auditiva</t>
  </si>
  <si>
    <t>8.7 Instrucción/orientación y/o preparación deficiente</t>
  </si>
  <si>
    <t>Manual de Referencia de Control de Pérdidas</t>
  </si>
  <si>
    <t>Legal</t>
  </si>
  <si>
    <t xml:space="preserve">Tipo IX : Apertura innecesaria y falta de restauración de plataformas, trincheras, pozas, accesos. </t>
  </si>
  <si>
    <t>1.8 Otras deficiencias (tacto, gusto, olfato, equilibrio)</t>
  </si>
  <si>
    <t>8.8 Documentos de referencia, instrucciones y publicaciones de asesoramiento inadecuados a nuestra disposición</t>
  </si>
  <si>
    <t>Auditorías Internas Realizadas</t>
  </si>
  <si>
    <t>Recursos Humanos</t>
  </si>
  <si>
    <t xml:space="preserve">Tipo X: Deforestación y caza no autorizada de animales y peces en la zona.  </t>
  </si>
  <si>
    <t>1.9 Incapacidad respiratoria</t>
  </si>
  <si>
    <t>8.9 Identificación y evaluación deficiente de exposiciones a pérdidas</t>
  </si>
  <si>
    <t>Responsabilidad Individual de Control de Pérdidas</t>
  </si>
  <si>
    <t>Administración</t>
  </si>
  <si>
    <t xml:space="preserve">Tipo XI: Falta de protección de restos arqueológicos.  </t>
  </si>
  <si>
    <t>Según Tipo de Accidente:</t>
  </si>
  <si>
    <t>1.10 Otras incapacidades físicas permanentes</t>
  </si>
  <si>
    <t>8.10 Conocimiento inadecuado de trabajo de supervisión / administración</t>
  </si>
  <si>
    <t>Objetivo Anuales de Control de Pérdidas</t>
  </si>
  <si>
    <t xml:space="preserve">Tipo XII: Clasificación inadecuada de residuos sólidos.  </t>
  </si>
  <si>
    <t>1.11 Incapacidades temporales</t>
  </si>
  <si>
    <t>8.11 Asignación inadecuada del trabajo, a las exigencias de la tarea</t>
  </si>
  <si>
    <t>Comités Conjuntos de Seguridad y Salud y/o representantes de Seguridad y Salud</t>
  </si>
  <si>
    <t xml:space="preserve">Tipo XIII: Desabastecimiento y/o malas condiciones de los recipientes colectores.  </t>
  </si>
  <si>
    <t>8.12 Medición y evaluación deficiente del desempeño</t>
  </si>
  <si>
    <t>Negativa a Trabajar debido a Peligros de Control de Pérdidas</t>
  </si>
  <si>
    <t xml:space="preserve">Tipo XIV: Almacenamiento inadecuado de los residuos sólidos peligros y no peligrosos. </t>
  </si>
  <si>
    <t>Otros</t>
  </si>
  <si>
    <t>2. Capacidad Mentales/Psicológicas Inadecuadas</t>
  </si>
  <si>
    <t>Biblioteca de Referencia</t>
  </si>
  <si>
    <t xml:space="preserve">Tipo XV: Inadecuado manejo de hidrocarburos y productos quimicos peligrosos.  </t>
  </si>
  <si>
    <t>2.1 Temores y fobias</t>
  </si>
  <si>
    <t>9. Ingeniería Inadecuada</t>
  </si>
  <si>
    <t>Control de Documentos</t>
  </si>
  <si>
    <t>Tipo XVI: Fallas en el transporte y manejo del relave.</t>
  </si>
  <si>
    <t>2.2 Disturbios emocionales</t>
  </si>
  <si>
    <t>9.1 Evaluación inadecuada de las exposiciones a pérdidas</t>
  </si>
  <si>
    <t>Regulación de Códigos y Estándares</t>
  </si>
  <si>
    <t xml:space="preserve">Tipo XVII: Falta de canales de coronación y respectivo mantenimiento.  </t>
  </si>
  <si>
    <t>2.3 Enfermedad mental</t>
  </si>
  <si>
    <t>9.2 Consideración deficiente de factores ergonómicos/humanos</t>
  </si>
  <si>
    <t>Comunicaciones Externas</t>
  </si>
  <si>
    <t xml:space="preserve">Tipo XVIII: Disposición de desmonte y/o mineral cerca o sobre un curso de agua.  </t>
  </si>
  <si>
    <t>2.4 Nivel de inteligencia</t>
  </si>
  <si>
    <t>9.3 Estándares y especificaciones y/o criterios de diseño deficiente</t>
  </si>
  <si>
    <t xml:space="preserve">Tipo XIX: Disposición de desmonte y/o mineral sobre suelo sin recuperación de top soil.  </t>
  </si>
  <si>
    <t>2.5 Incapacidad para comprender</t>
  </si>
  <si>
    <t>9.4 Control inadecuado de la construcción</t>
  </si>
  <si>
    <t>2. ENTRENAMIENTO DEL LIDERAZGO</t>
  </si>
  <si>
    <t>Construcción Civil</t>
  </si>
  <si>
    <t xml:space="preserve">Tipo XX: Deficiencias en los programas forestales implementados: revegetación, reforestación.  </t>
  </si>
  <si>
    <t>2.6 Mal juicio</t>
  </si>
  <si>
    <t>9.5 Evaluación inadecuada de condiciones operacionales</t>
  </si>
  <si>
    <t>Análisis de las Necesidades de Entrenamiento</t>
  </si>
  <si>
    <t>Centro Médico</t>
  </si>
  <si>
    <t>Tipo XXI: Derrame de concentrado.</t>
  </si>
  <si>
    <t>2.7 Mala coordinación</t>
  </si>
  <si>
    <t>9.6 Controles inadecuados</t>
  </si>
  <si>
    <t>Orientación/Inducción de Liderazgo en Control de pérdidas</t>
  </si>
  <si>
    <t>Compra de Tierras</t>
  </si>
  <si>
    <t>Tipo XXII: Falta de orden y limpieza en áeras de trabajo</t>
  </si>
  <si>
    <t>Clase de Accidente:</t>
  </si>
  <si>
    <t>2.8 Reacción lenta</t>
  </si>
  <si>
    <t>9.7 Monitoreo u operación inicial inadecuada</t>
  </si>
  <si>
    <t>Entrenamiento Formal inicial para la Gerencia superior</t>
  </si>
  <si>
    <t>Logística</t>
  </si>
  <si>
    <t>Tipo XXIII: Emisión de material particulado de manera descontrolado</t>
  </si>
  <si>
    <t>Persona</t>
  </si>
  <si>
    <t>2.9 Poca aptitud mecánica</t>
  </si>
  <si>
    <t>9.8 Evaluación inadecuada del cambio</t>
  </si>
  <si>
    <t>Repaso, Actualización y Entrenamiento Formal avanzado de la Gerencia Superior</t>
  </si>
  <si>
    <t>Organización y Métodos</t>
  </si>
  <si>
    <t>Propiedad</t>
  </si>
  <si>
    <t>2.10 Poca aptitud de aprendizaje</t>
  </si>
  <si>
    <t>Entrenamiento Formal inicial para el Liderazgo en control de Pérdidas</t>
  </si>
  <si>
    <t>Sistemas y Comunicaciones</t>
  </si>
  <si>
    <t>Proceso</t>
  </si>
  <si>
    <t>2.11 Falla en la memoria</t>
  </si>
  <si>
    <t>10. Adquisiciones Inadecuadas</t>
  </si>
  <si>
    <t>Repaso, Actualización y Entrenamiento Formal avanzado para el Liderazgo en control de Pérdidas</t>
  </si>
  <si>
    <t>10.1 Especificaciones deficientes de órdenes y pedidos</t>
  </si>
  <si>
    <t>Entrenamiento formal del Coordinador de Control de Pérdidas</t>
  </si>
  <si>
    <t>3. Tensión Física o Fisiológica</t>
  </si>
  <si>
    <t>10.2 Investigación inadecuada del material/equipo</t>
  </si>
  <si>
    <t>Registro de Entrenamiento</t>
  </si>
  <si>
    <t>3.1 Lesión o enfermedad</t>
  </si>
  <si>
    <t>10.3 Especificaciones inadecuadas a vendedores</t>
  </si>
  <si>
    <t>3.2 Fatiga por carga o duración de tarea</t>
  </si>
  <si>
    <t>10.4 Modalidad o ruta de reembarque inadecuada</t>
  </si>
  <si>
    <t>3. INSPECCIONES PLANEADAS Y MANTENIMIENTO</t>
  </si>
  <si>
    <t>3.3 Fatiga por falta de descanso</t>
  </si>
  <si>
    <t>10.5 Inspección de recepción deficiente</t>
  </si>
  <si>
    <t>Inspecciones Generales Planeadas</t>
  </si>
  <si>
    <t>3.4 Fatiga por sobrecarga sensitivas</t>
  </si>
  <si>
    <t>10.6 Comunicación inadecuada de información de salud y seguridad</t>
  </si>
  <si>
    <t>Sistema de Seguimiento</t>
  </si>
  <si>
    <t>3.5 Exposición a riesgos contra la salud</t>
  </si>
  <si>
    <t>10.7 Manejo inadecuado de materiales</t>
  </si>
  <si>
    <t>Análisis del Informe de Inspección</t>
  </si>
  <si>
    <t>3.6 Exposición a temperatura extremas</t>
  </si>
  <si>
    <t>10.8 Almacenamiento inadecuado de materiales</t>
  </si>
  <si>
    <t>Partes / Artículos Críticos</t>
  </si>
  <si>
    <t>3.7 Insuficiencia de oxígeno</t>
  </si>
  <si>
    <t>10.9 Transporte inadecuado de materiales</t>
  </si>
  <si>
    <t>Mantenimiento Preventivo</t>
  </si>
  <si>
    <t>3.8 Variación de presión atmosférica</t>
  </si>
  <si>
    <t>10.10 Identificación deficiente de materiales peligrosos</t>
  </si>
  <si>
    <t>Inspección de Sistemas Especiales</t>
  </si>
  <si>
    <t>3.9 Movimiento restringido</t>
  </si>
  <si>
    <t>10.11 Disposición inadecuada de residuos y desperdicios</t>
  </si>
  <si>
    <t>Inspección de Pre-Uso del equipo</t>
  </si>
  <si>
    <t>3.10 Insuficiencia de azúcar en la sangre</t>
  </si>
  <si>
    <t>10.12 Selección inadecuadas de contratistas</t>
  </si>
  <si>
    <t>Sistema alterno para reportar condiciones subestándares</t>
  </si>
  <si>
    <t>3.11 Drogas</t>
  </si>
  <si>
    <t>Requisitos de cumplimiento</t>
  </si>
  <si>
    <t>11. Mantenimiento Inadecuado</t>
  </si>
  <si>
    <t>4. Tensión mental o Psicológica</t>
  </si>
  <si>
    <t>11.1 Prevención inadecuada</t>
  </si>
  <si>
    <t>4. ANALISIS Y PROCEDIMIENTOS DE TAREAS CRITICAS</t>
  </si>
  <si>
    <t>4.1 Sobre carga emocional</t>
  </si>
  <si>
    <t>11.1.1</t>
  </si>
  <si>
    <t>11.1.1 Evaluación de necesidades</t>
  </si>
  <si>
    <t xml:space="preserve">Administración </t>
  </si>
  <si>
    <t>4.2 Fatiga por cargo o velocidad de tarea mental</t>
  </si>
  <si>
    <t>11.1.2</t>
  </si>
  <si>
    <t>11.1.2 Lubricación y servicio</t>
  </si>
  <si>
    <t>Inventario de Tareas Críticas</t>
  </si>
  <si>
    <t>4.3 Demanda extrema de opinión/ decisión</t>
  </si>
  <si>
    <t>11.1.3</t>
  </si>
  <si>
    <t>11.1.3 Ajuste/ensamblaje</t>
  </si>
  <si>
    <t>Objetivos para el Análisis de Tareas Críticas</t>
  </si>
  <si>
    <t>4.4 Rutina, monotonía de trabajos no importante</t>
  </si>
  <si>
    <t>11.1.4</t>
  </si>
  <si>
    <t>11.1.4 Limpieza o pulimento</t>
  </si>
  <si>
    <t xml:space="preserve">Análisis y Procedimientos de Tareas Críticas </t>
  </si>
  <si>
    <t>4.5 Demanda extrema de concentración/percepción</t>
  </si>
  <si>
    <t>11.2 Reparación inadecuada</t>
  </si>
  <si>
    <t>Identificación y control de pérdidas</t>
  </si>
  <si>
    <t>4.7 Direcciones y demandas confusas</t>
  </si>
  <si>
    <t>11.2.2</t>
  </si>
  <si>
    <t>12.2.2 Planteamiento de trabajo</t>
  </si>
  <si>
    <t>5. INVESTIGACION DE ACCIDENTE / INCIDENTE</t>
  </si>
  <si>
    <t>4.8 Peticiones conflictivas</t>
  </si>
  <si>
    <t>11.2.3</t>
  </si>
  <si>
    <t>12.2.3 Examinación de unidades</t>
  </si>
  <si>
    <t>Sistema para la Investigación de accidentes / incidentes</t>
  </si>
  <si>
    <t>4.9 Preocupación por problemas</t>
  </si>
  <si>
    <t>11.2.4</t>
  </si>
  <si>
    <t>12.2.4 Substitución de partes</t>
  </si>
  <si>
    <t>Participación de la gerencia operativa</t>
  </si>
  <si>
    <t>4.10 Frustración</t>
  </si>
  <si>
    <t>Accidentes / incidentes graves con alto potencial</t>
  </si>
  <si>
    <t>4.11 Enfermedad mental</t>
  </si>
  <si>
    <t>12. Herramientas y Equipos Inadecuados</t>
  </si>
  <si>
    <t>Acciones correctivas y de seguimiento</t>
  </si>
  <si>
    <t>12.1 Evaluación deficiente de necesidades y riesgos</t>
  </si>
  <si>
    <t>Investigación y reporte de incidentes</t>
  </si>
  <si>
    <t>5. Falta de conocimiento</t>
  </si>
  <si>
    <t>12.2 Consideración inadecuada de factores humanos/ergonómicos</t>
  </si>
  <si>
    <t>5.1 Falta de experiencia</t>
  </si>
  <si>
    <t>12.3 Estándares o especificación inadecuados</t>
  </si>
  <si>
    <t>6. OBSERVACION DE TAREAS</t>
  </si>
  <si>
    <t>5.2 Orientación deficiente</t>
  </si>
  <si>
    <t>12.4 Disponibilidad inadecuada</t>
  </si>
  <si>
    <t>5.3 Adestramiento inicial inadecuado</t>
  </si>
  <si>
    <t>12.5 Ajuste/reparación/mantenimiento deficiente</t>
  </si>
  <si>
    <t>Observación parcial / selectiva de tareas</t>
  </si>
  <si>
    <t>5.4 Adiestramiento actualizado deficiente</t>
  </si>
  <si>
    <t>12.6 Salvamento y reclamación inadecuada</t>
  </si>
  <si>
    <t>Observación Completa de Tareas</t>
  </si>
  <si>
    <t>5.5 Direcciones mal entendidas</t>
  </si>
  <si>
    <t>12.7 Inadecuada remoción y reemplazo de artículos deficientes</t>
  </si>
  <si>
    <t>Observación de Tareas críticas</t>
  </si>
  <si>
    <t>Sistema de seguimiento</t>
  </si>
  <si>
    <t>6. Falta de habilidad</t>
  </si>
  <si>
    <t>13. Estándares de Trabajo Inadecuados</t>
  </si>
  <si>
    <t>Análisis de informe de observación de tareas</t>
  </si>
  <si>
    <t>6.1 Instrucción inicial deficiente</t>
  </si>
  <si>
    <t>13.1 Desarrollo inadecuado de estándares para:</t>
  </si>
  <si>
    <t>6.2 Práctica insuficiente</t>
  </si>
  <si>
    <t>13.1.1</t>
  </si>
  <si>
    <t>13.1.1 Inventario y evaluación de exposiciones y necesidades</t>
  </si>
  <si>
    <t>6.3 Ejecución poco frecuente</t>
  </si>
  <si>
    <t>13.1.2</t>
  </si>
  <si>
    <t>13.1.2 Coordinación en el diseño del proceso</t>
  </si>
  <si>
    <t>7. PREPARACION PARA EMERGENCIAS</t>
  </si>
  <si>
    <t>6.4 Falta de preparación/asesoramiento</t>
  </si>
  <si>
    <t>13.1.3</t>
  </si>
  <si>
    <t>13.1.3 Involucramiento del empleado</t>
  </si>
  <si>
    <t>6.5 Revisión inadecuada de instrucción</t>
  </si>
  <si>
    <t>13.1.4</t>
  </si>
  <si>
    <t>13.1.4 Estándares, procedimientos, reglas</t>
  </si>
  <si>
    <t>Análisis de reacción a emergencias</t>
  </si>
  <si>
    <t>Plan de emergencia</t>
  </si>
  <si>
    <t>7. Motivación Inadecuada</t>
  </si>
  <si>
    <t>13.2.1</t>
  </si>
  <si>
    <t>13.2.1 Publicaciones</t>
  </si>
  <si>
    <t>Emergencia externas</t>
  </si>
  <si>
    <t>7.1 Premiación (tolerancia) del desempeño inadecuado</t>
  </si>
  <si>
    <t>13.2.2</t>
  </si>
  <si>
    <t>13.2.2 Distribuciones</t>
  </si>
  <si>
    <t>Controles de fuentes de energía</t>
  </si>
  <si>
    <t>7.2 Castigo del desempeño adecuado</t>
  </si>
  <si>
    <t>13.2.3</t>
  </si>
  <si>
    <t>13.2.3 Traducción a idiomas apropiados</t>
  </si>
  <si>
    <t>Sistema de protección y de rescate</t>
  </si>
  <si>
    <t>7.3 Falta de incentivos</t>
  </si>
  <si>
    <t>13.2.4</t>
  </si>
  <si>
    <t>13.2.4 Entrenamiento</t>
  </si>
  <si>
    <t>Equipo de emergencia</t>
  </si>
  <si>
    <t>7.4 Frustración excesiva</t>
  </si>
  <si>
    <t>13.2.5</t>
  </si>
  <si>
    <t>Sistemas de experiencias adquiridas</t>
  </si>
  <si>
    <t>7.5 Agresión inapropiada</t>
  </si>
  <si>
    <t>13.3 Mantenimiento inadecuada de estándares para</t>
  </si>
  <si>
    <t>Primeros auxilios</t>
  </si>
  <si>
    <t>7.6 Intento inapropiado de ahorrar tiempo o esfuerzo</t>
  </si>
  <si>
    <t>13.3.1</t>
  </si>
  <si>
    <t>13.3.1 Seguimiento del flujo de trabajo</t>
  </si>
  <si>
    <t>Ayuda mutua y asistencia externa organizada</t>
  </si>
  <si>
    <t>7.7 Intento inapropiado de evitar la incomodidad</t>
  </si>
  <si>
    <t>13.3.2</t>
  </si>
  <si>
    <t>13.3.2 Actualización</t>
  </si>
  <si>
    <t>Plantación después del evento</t>
  </si>
  <si>
    <t>7.8 Intento inapropiado de captar la atención</t>
  </si>
  <si>
    <t>13.3.3</t>
  </si>
  <si>
    <t>13.3.3 Monitoreo del uso de estándares/procedimientos/reglas</t>
  </si>
  <si>
    <t>Comunicación en caso de emergencia</t>
  </si>
  <si>
    <t>7.9 Disciplina inadecuada</t>
  </si>
  <si>
    <t>Comunicados a comunidad</t>
  </si>
  <si>
    <t>7.10 Presión inapropiada de los compañeros</t>
  </si>
  <si>
    <t>14. Uso y Desgaste Excesivo</t>
  </si>
  <si>
    <t>7.11 Ejemplo inapropiado de la supervisión</t>
  </si>
  <si>
    <t>14.1 Planificación inadecuada de uso</t>
  </si>
  <si>
    <t>8. REGLAS Y PERMISOS DE TRABAJO</t>
  </si>
  <si>
    <t>7.12 Retroalimentación deficiente del desempeño</t>
  </si>
  <si>
    <t>14.2 Extensión inadecuada de la vida útil</t>
  </si>
  <si>
    <t>Reglas generales de control de pérdidas</t>
  </si>
  <si>
    <t>7.13 Refuerzo deficiente del comportamiento adecuado</t>
  </si>
  <si>
    <t>14.3 Inspección y/o control deficiente</t>
  </si>
  <si>
    <t>Reglamento para el trabajo especializado</t>
  </si>
  <si>
    <t>7.14 Incentivos de producción inapropiados</t>
  </si>
  <si>
    <t>14.4 Carga o proporción de uso deficiente</t>
  </si>
  <si>
    <t>Sistemas de permiso para trabajos especializados</t>
  </si>
  <si>
    <t>14.5 Mantenimiento deficiente</t>
  </si>
  <si>
    <t>Sistema de permiso operativo</t>
  </si>
  <si>
    <t>14.6 Uso por personas no calificadas/entrenadas</t>
  </si>
  <si>
    <t>Aprendizaje y revisión de reglas</t>
  </si>
  <si>
    <t>14.7 Uso para propósitos indebidos</t>
  </si>
  <si>
    <t>Cumplimiento y reconocimiento de las reglas</t>
  </si>
  <si>
    <t>Uso de letreros de instrucción y códigos de colores</t>
  </si>
  <si>
    <t>15. Abuso o Mal Uso</t>
  </si>
  <si>
    <t>15.1 Conducta inapropiada censurada</t>
  </si>
  <si>
    <t>9. ANALISIS DE ACCIDENTES / INCIDENTES</t>
  </si>
  <si>
    <t>15.1.1</t>
  </si>
  <si>
    <t>15.1.1 Intencional</t>
  </si>
  <si>
    <t>Mediciones de consecuencias</t>
  </si>
  <si>
    <t>15.1.2</t>
  </si>
  <si>
    <t>15.1.2 No intencional</t>
  </si>
  <si>
    <t>Análisis de causas de daño</t>
  </si>
  <si>
    <t>15.2 Conducta inapropiada permitida</t>
  </si>
  <si>
    <t>Identificación y análisis de daño a la propiedad / proceso</t>
  </si>
  <si>
    <t>15.2.1</t>
  </si>
  <si>
    <t>15.2.1 Intencional</t>
  </si>
  <si>
    <t>Análisis de incidentes (cuasi-accidentes)</t>
  </si>
  <si>
    <t>15.2.2</t>
  </si>
  <si>
    <t>15.2.2 No intencional</t>
  </si>
  <si>
    <t>Equipos para la solución de problemas</t>
  </si>
  <si>
    <t>10. ENTRENAMIENTO DE CONOCIMIENTO Y HABILIDADES</t>
  </si>
  <si>
    <t>Análisis de las necesidades de entrenamiento</t>
  </si>
  <si>
    <t>Sistemas de entrenamiento</t>
  </si>
  <si>
    <t>Evaluación del sistema de entrenamiento y seguimiento</t>
  </si>
  <si>
    <t>11. EQUIPO DE PROTECCION PERSONAL</t>
  </si>
  <si>
    <t>Registros de equipo de protección personal</t>
  </si>
  <si>
    <t>Cumplimiento de los estándares</t>
  </si>
  <si>
    <t>12. CONTROL DE SALUD E HIGIENE INDUSTRIAL</t>
  </si>
  <si>
    <t>Identificación y evaluación de riesgos a la salud</t>
  </si>
  <si>
    <t>Control de riesgos a la salud</t>
  </si>
  <si>
    <t>Control de salud ocupacional e higiene industrial</t>
  </si>
  <si>
    <t>Información y entrenamiento</t>
  </si>
  <si>
    <t>Sistema de cuidados de salud</t>
  </si>
  <si>
    <t>Asistencia profesional</t>
  </si>
  <si>
    <t>Comunicaciones</t>
  </si>
  <si>
    <t>Registros</t>
  </si>
  <si>
    <t>13. EVALUACION DEL PROGRAMA</t>
  </si>
  <si>
    <t>Evaluación de los requisitos de control de pérdidas</t>
  </si>
  <si>
    <t>Evaluación regular del sistema</t>
  </si>
  <si>
    <t>Evaluación de los cumplimientos de los estándares del sistema de control de pérdidas</t>
  </si>
  <si>
    <t>Mantenimiento de registros</t>
  </si>
  <si>
    <t>14. INGENIERIA Y ADMINISTRACIÓN DE CAMBIOS</t>
  </si>
  <si>
    <t>Identificación de riesgos e evaluación de peligros</t>
  </si>
  <si>
    <t>Revisión de proyectos y administración del cambio</t>
  </si>
  <si>
    <t>Controles de operación y procesos de trabajo</t>
  </si>
  <si>
    <t>15. COMUNICACIÓN PERSONALES</t>
  </si>
  <si>
    <t>Entrenamiento en técnicas de comunicación personal</t>
  </si>
  <si>
    <t>Instrucción de tareas</t>
  </si>
  <si>
    <t>Contactos personales planeados</t>
  </si>
  <si>
    <t>16. COMUNICACIONES EN GRUPO</t>
  </si>
  <si>
    <t>Reuniones en grupo</t>
  </si>
  <si>
    <t>Mantenimiento de registro</t>
  </si>
  <si>
    <t>Participación de la administración</t>
  </si>
  <si>
    <t>17. PROMOCION GENERAL</t>
  </si>
  <si>
    <t>Tableros para anuncios de control de pérdidas</t>
  </si>
  <si>
    <t>Uso de estadísticas de accidentes / incidentes</t>
  </si>
  <si>
    <t>Promoción de temas críticos</t>
  </si>
  <si>
    <t>Premio y reconocimiento a individuos</t>
  </si>
  <si>
    <t>Publicaciones de información de control de pérdidas</t>
  </si>
  <si>
    <t>Premios y reconocimientos a grupo</t>
  </si>
  <si>
    <t>Promociones del sistema de orden y limpieza</t>
  </si>
  <si>
    <t>Promociones externas</t>
  </si>
  <si>
    <t>Registros de las actividades de promoción</t>
  </si>
  <si>
    <t>18. CONTRATACION Y COLOCACION</t>
  </si>
  <si>
    <t>Requisitos de capacidad</t>
  </si>
  <si>
    <t>Examen médico</t>
  </si>
  <si>
    <t>Orientación / inducción General</t>
  </si>
  <si>
    <t>Revisión de las calificaciones de pre-empleo / pre-colocación</t>
  </si>
  <si>
    <t>19. ADMINISTRACIÓN DE MATERIALES Y SERVICIOS</t>
  </si>
  <si>
    <t>Selección de contratistas</t>
  </si>
  <si>
    <t>20. SEGURIDAD FUERA DEL TRABAJO</t>
  </si>
  <si>
    <t>Identificación y análisis</t>
  </si>
  <si>
    <t>Educación de seguridad fuera del trabajo</t>
  </si>
  <si>
    <t>NECESIDADES DEL SISTEMA ( NS ) = FALTA DE CONTROL</t>
  </si>
  <si>
    <t>Control de Proyectos</t>
  </si>
  <si>
    <t>Administración y Finanzas</t>
  </si>
  <si>
    <t>Adquisiones y Contratos</t>
  </si>
  <si>
    <t>Auditoría Interna</t>
  </si>
  <si>
    <t>Comisionamiento</t>
  </si>
  <si>
    <t>Ejecución</t>
  </si>
  <si>
    <t>Exploraciones</t>
  </si>
  <si>
    <t>Geología</t>
  </si>
  <si>
    <t>Mantenimiento</t>
  </si>
  <si>
    <t>Medio Ambiente y Permisos</t>
  </si>
  <si>
    <t>Mina</t>
  </si>
  <si>
    <t>Operaciones</t>
  </si>
  <si>
    <t>Planeamiento de Mina</t>
  </si>
  <si>
    <t>Procesamiento</t>
  </si>
  <si>
    <t>Responsabilidad Social y Comunicaciones</t>
  </si>
  <si>
    <t>Seguridad y Salud</t>
  </si>
  <si>
    <t>Gerencia General Marcobre</t>
  </si>
  <si>
    <t>Proyecto Mina Justa</t>
  </si>
  <si>
    <t>Incidente peligroso</t>
  </si>
  <si>
    <t>Incidente</t>
  </si>
  <si>
    <t>Acto subestándar</t>
  </si>
  <si>
    <t>Condición subestándar</t>
  </si>
  <si>
    <t>Acto y condición subestándar</t>
  </si>
  <si>
    <t>Clasificación</t>
  </si>
  <si>
    <t>Proyecto</t>
  </si>
  <si>
    <r>
      <rPr>
        <b/>
        <sz val="10"/>
        <color theme="0"/>
        <rFont val="Arial"/>
        <family val="2"/>
      </rPr>
      <t>Unid</t>
    </r>
    <r>
      <rPr>
        <b/>
        <sz val="11"/>
        <color theme="0"/>
        <rFont val="Calibri"/>
        <family val="2"/>
        <scheme val="minor"/>
      </rPr>
      <t>ad de medida</t>
    </r>
  </si>
  <si>
    <t>Componente ambiental</t>
  </si>
  <si>
    <t>13.2 Comunicación inadecuada de estándares para:</t>
  </si>
  <si>
    <t>13.2.5 Reforzamiento con símbolos, códigos, símbolos de color y ayudas de trabajo</t>
  </si>
  <si>
    <t>TIPO DE INCIDENTES AMBIENTALES</t>
  </si>
  <si>
    <t>1. Insignificante</t>
  </si>
  <si>
    <t>2. Menor</t>
  </si>
  <si>
    <t>3. Moderado</t>
  </si>
  <si>
    <t>4. Mayor</t>
  </si>
  <si>
    <t>5. Catastrófico</t>
  </si>
  <si>
    <t>Nivel del Incidente</t>
  </si>
  <si>
    <t>Omisión de señalizar.</t>
  </si>
  <si>
    <t>Omisión de asegurar.</t>
  </si>
  <si>
    <t>Operar a velocidad indebida.</t>
  </si>
  <si>
    <t>Desactivar dispositivos de seguridad.</t>
  </si>
  <si>
    <t>Usar equipo defectuoso.</t>
  </si>
  <si>
    <t>Segregación incorrecta de residuos sólidos.</t>
  </si>
  <si>
    <t>Carga incorrecta.</t>
  </si>
  <si>
    <t>Colocación incorrecta.</t>
  </si>
  <si>
    <t>Levantar incorrectamente.</t>
  </si>
  <si>
    <t>No aplicar los controles preventivos para derrames.</t>
  </si>
  <si>
    <t>Desperdiciar energía eléctrica.</t>
  </si>
  <si>
    <t>Desperdicio de insumos.</t>
  </si>
  <si>
    <t>Desperdicio de agua.</t>
  </si>
  <si>
    <t>Cazar o matar animales silvestres.</t>
  </si>
  <si>
    <t>Derramar productos químicos sobre el suelo.</t>
  </si>
  <si>
    <t>Hacer fuego abierto SIN autorización.</t>
  </si>
  <si>
    <t>Descarga de efluentes SIN autorización.</t>
  </si>
  <si>
    <t>Extraer vegetación y/o suelo orgánico SIN autorización.</t>
  </si>
  <si>
    <t>Generar ruido excesivo.</t>
  </si>
  <si>
    <t>Dar servicio a equipo en funcionamiento.</t>
  </si>
  <si>
    <t>Jugueteo.</t>
  </si>
  <si>
    <t>Bajo la influencia del alcohol y/u otras drogas.</t>
  </si>
  <si>
    <t>Uso indebido del Equipo.</t>
  </si>
  <si>
    <t>Otros.</t>
  </si>
  <si>
    <t>Condiciones ambientales peligrosas.</t>
  </si>
  <si>
    <t>Presencia de vectores (roedores, insectos, otros).</t>
  </si>
  <si>
    <t>Presencia de vegetación seca cerca de zonas inflamables.</t>
  </si>
  <si>
    <t>Falta de cotroles de erosión (pacas, silt fences, check dams).</t>
  </si>
  <si>
    <t>Saturación de Pozas de sedimentación, cunetas y canales.</t>
  </si>
  <si>
    <t>Falta de Pozas de sedimentación, cunetas y canales.</t>
  </si>
  <si>
    <t>Orden y Limpieza Deficientes / Desorden.</t>
  </si>
  <si>
    <t>Peligro de Incendio y Explosión.</t>
  </si>
  <si>
    <t>Sistema de Advertencia inadecuado.</t>
  </si>
  <si>
    <t>Congestión o Acción restringida.</t>
  </si>
  <si>
    <t>Herramientas, equipos o materiales defectuosos.</t>
  </si>
  <si>
    <t>Recipientes con residuos líquidos llenos.</t>
  </si>
  <si>
    <t>Recipiente de residuos sólidos llenos (por capacidad o falta de recolección).</t>
  </si>
  <si>
    <t>Razón Social:</t>
  </si>
  <si>
    <t>RUC:</t>
  </si>
  <si>
    <t>Domicilio legal:</t>
  </si>
  <si>
    <t>Unidad Minera:</t>
  </si>
  <si>
    <t>Actividad:</t>
  </si>
  <si>
    <t>Distrito:</t>
  </si>
  <si>
    <t>Provincia:</t>
  </si>
  <si>
    <t xml:space="preserve">Tipo de incidente: </t>
  </si>
  <si>
    <t>Nivel de incidente:</t>
  </si>
  <si>
    <t>Departamento:</t>
  </si>
  <si>
    <t>Lugar donde ocurrió:</t>
  </si>
  <si>
    <t>Unidades para Área:</t>
  </si>
  <si>
    <t>Ha</t>
  </si>
  <si>
    <r>
      <t>m</t>
    </r>
    <r>
      <rPr>
        <vertAlign val="superscript"/>
        <sz val="10"/>
        <color theme="1"/>
        <rFont val="Arial"/>
        <family val="2"/>
      </rPr>
      <t>2</t>
    </r>
  </si>
  <si>
    <r>
      <t>Km</t>
    </r>
    <r>
      <rPr>
        <vertAlign val="superscript"/>
        <sz val="10"/>
        <color theme="1"/>
        <rFont val="Arial"/>
        <family val="2"/>
      </rPr>
      <t>2</t>
    </r>
  </si>
  <si>
    <t>Este:</t>
  </si>
  <si>
    <t>Norte:</t>
  </si>
  <si>
    <t>CAUSAS INMEDIATAS/DIRECTAS (CI)</t>
  </si>
  <si>
    <t>CAUSAS BÁSICAS/RAIZ (CB)</t>
  </si>
  <si>
    <t>Gerencias</t>
  </si>
  <si>
    <t>EI</t>
  </si>
  <si>
    <t>CI</t>
  </si>
  <si>
    <t>NP</t>
  </si>
  <si>
    <t>Descripción detallada del incidente:</t>
  </si>
  <si>
    <t>César García</t>
  </si>
  <si>
    <t>Víctor Soto</t>
  </si>
  <si>
    <t>Carlos Mego</t>
  </si>
  <si>
    <t>Karla Montoya</t>
  </si>
  <si>
    <t>Carlos Beraun</t>
  </si>
  <si>
    <t>Supervisores MA</t>
  </si>
  <si>
    <t>1. DATOS DEL TITULAR MINERO</t>
  </si>
  <si>
    <t>2. DATOS DE LA EMPRESA CONTRATISTA O SUBCONTRATISTA (Llenar esta sección en caso el incidente NO haya sido ocasionado por el titular minero)</t>
  </si>
  <si>
    <t>2.2 Subcontratista (Llenar esta sección en caso el incidente haya sido ocasionado por la subcontratista)</t>
  </si>
  <si>
    <t>3. INFORMACIÓN DEL INCIDENTE AMBIENTAL</t>
  </si>
  <si>
    <t>Tipo de producto</t>
  </si>
  <si>
    <t>Efluentes</t>
  </si>
  <si>
    <t>Relaves</t>
  </si>
  <si>
    <t>Aceite dieléctrico</t>
  </si>
  <si>
    <t>Sustancias químicas</t>
  </si>
  <si>
    <t>Hidrocarburo</t>
  </si>
  <si>
    <t>Almacén Central de Residuos (ACR)</t>
  </si>
  <si>
    <t>Depósito de Desmonte</t>
  </si>
  <si>
    <t>Relleno de Seguridad Fuera de Mina</t>
  </si>
  <si>
    <t>Presa de Relaves</t>
  </si>
  <si>
    <t>N.A.</t>
  </si>
  <si>
    <t>En proceso</t>
  </si>
  <si>
    <t>Agua</t>
  </si>
  <si>
    <t>Administrativo</t>
  </si>
  <si>
    <t>Social</t>
  </si>
  <si>
    <t>Otro</t>
  </si>
  <si>
    <t>Impacto</t>
  </si>
  <si>
    <t>Aero 3477</t>
  </si>
  <si>
    <t>Aguas Residuales</t>
  </si>
  <si>
    <t>Biodisel 5</t>
  </si>
  <si>
    <t>Cianuro de sodio</t>
  </si>
  <si>
    <t>Gasolina</t>
  </si>
  <si>
    <t>Hidrolina</t>
  </si>
  <si>
    <t>Magnafloc 10</t>
  </si>
  <si>
    <t>Magnafloc 1011</t>
  </si>
  <si>
    <t>Metthy isobutyl carbinol</t>
  </si>
  <si>
    <t>Tupasol alto</t>
  </si>
  <si>
    <t>Xantato amilico de potasio</t>
  </si>
  <si>
    <t>Producto derramado</t>
  </si>
  <si>
    <t>Bus</t>
  </si>
  <si>
    <t>Camión Cantera  785B Catarpillar</t>
  </si>
  <si>
    <t>Camión Cantera  785C Catarpillar</t>
  </si>
  <si>
    <t>Camión Grúa</t>
  </si>
  <si>
    <t>Camión Lubricador Cóndor 5</t>
  </si>
  <si>
    <t>Camión Lubricador FREIGHTLINER</t>
  </si>
  <si>
    <t>Camión Lubricador volvo NL-12 (6x4)</t>
  </si>
  <si>
    <t>Camión mezclador de Explosivos</t>
  </si>
  <si>
    <t>Camión mezclador Kenworth T-800</t>
  </si>
  <si>
    <t xml:space="preserve">Camión Volquete </t>
  </si>
  <si>
    <t>Camión Volquete FM12- Volvo(6x4R)</t>
  </si>
  <si>
    <t>Camioneta</t>
  </si>
  <si>
    <t>Cargador Catarpillar 988B</t>
  </si>
  <si>
    <t>Cargador Catarpillar 988G</t>
  </si>
  <si>
    <t>Cargador Catarpillar 988H</t>
  </si>
  <si>
    <t>Cargador Catarpillar 994F</t>
  </si>
  <si>
    <t>Cargador Frontal CAT 966H</t>
  </si>
  <si>
    <t>Cargador Frontal CAT 994K</t>
  </si>
  <si>
    <t>Cisterna de Agua</t>
  </si>
  <si>
    <t>Cisterna de combustible</t>
  </si>
  <si>
    <t>Comprensora</t>
  </si>
  <si>
    <t>Equipo de iluminación Magnun</t>
  </si>
  <si>
    <t>Equipo de inyección</t>
  </si>
  <si>
    <t>Excavadora CAT 330 DL</t>
  </si>
  <si>
    <t>Excavadora CAT 336 DL</t>
  </si>
  <si>
    <t>Excavadora CAT 385CL</t>
  </si>
  <si>
    <t xml:space="preserve">Excavadora CAT MASS 330DL </t>
  </si>
  <si>
    <t>Excavadora HYUNDAI 330L</t>
  </si>
  <si>
    <t>Excavadora Komatsu PC200</t>
  </si>
  <si>
    <t>Excavadora Komatsu PC300 LC</t>
  </si>
  <si>
    <t>Excavadora Komatsu PC300 LC7E0</t>
  </si>
  <si>
    <t>Excavadora Komatsu PC300 LC-8</t>
  </si>
  <si>
    <t>Excavadora Komatsu PC350 LC</t>
  </si>
  <si>
    <t>Excavadora Martillo Komatsu PC300 LC7E0</t>
  </si>
  <si>
    <t>Grupo Generador 2MW</t>
  </si>
  <si>
    <t>Grupo Generador UP-45</t>
  </si>
  <si>
    <t>Grupos electrógenos</t>
  </si>
  <si>
    <t>Luminaria</t>
  </si>
  <si>
    <t>Minicargador</t>
  </si>
  <si>
    <t>Motobomba de agua</t>
  </si>
  <si>
    <t>Motobomba de agua de 6"</t>
  </si>
  <si>
    <t>Motobomba honda GX</t>
  </si>
  <si>
    <t>Motoniveladola Komatsu 6D-175</t>
  </si>
  <si>
    <t>Motoniveladora 16H</t>
  </si>
  <si>
    <t>Tipo de equipos</t>
  </si>
  <si>
    <t>Demex CMM-3 (Dextrina de almidón de maíz)</t>
  </si>
  <si>
    <t>Concentrado de cobre</t>
  </si>
  <si>
    <t>Lodos desactivados</t>
  </si>
  <si>
    <t>Nitrato de amonio</t>
  </si>
  <si>
    <t>Aceite Hidráulico</t>
  </si>
  <si>
    <t>Estado</t>
  </si>
  <si>
    <t>Sólido</t>
  </si>
  <si>
    <t>Líquido</t>
  </si>
  <si>
    <t>Gaseoso</t>
  </si>
  <si>
    <t>Número de individuos afectados:</t>
  </si>
  <si>
    <t>Agua  marina</t>
  </si>
  <si>
    <t>Agua superficial</t>
  </si>
  <si>
    <t>Agua marina</t>
  </si>
  <si>
    <t>3.1 Datos del incidente</t>
  </si>
  <si>
    <t>Cantidad de residuos generados:</t>
  </si>
  <si>
    <t>Tipo de suelo:</t>
  </si>
  <si>
    <t>Especie:</t>
  </si>
  <si>
    <t>Lugar de disposición:</t>
  </si>
  <si>
    <t>Tipo de agua:</t>
  </si>
  <si>
    <t>Salud de las personas</t>
  </si>
  <si>
    <t>Descripción del daño a la salud:</t>
  </si>
  <si>
    <t>Número de personas afectadas:</t>
  </si>
  <si>
    <t>Causas inmediatas
(Referente a los actos y condiciones subestándares)</t>
  </si>
  <si>
    <t>Descripción</t>
  </si>
  <si>
    <t>Causas básicas
(Referente a los factores personales y laborales)</t>
  </si>
  <si>
    <t>Operativo</t>
  </si>
  <si>
    <t>4. CAUSALIDAD</t>
  </si>
  <si>
    <t>4.1 Causas inmediatas</t>
  </si>
  <si>
    <t>Actos Subestándares</t>
  </si>
  <si>
    <t>Condiciones Subestándares</t>
  </si>
  <si>
    <t>Factores personales</t>
  </si>
  <si>
    <t>4.2 Causas básicas</t>
  </si>
  <si>
    <t>Acciones inmediatas tomadas
(Correspondientes a las causas inmediatas)</t>
  </si>
  <si>
    <t>Fecha de Ejecución</t>
  </si>
  <si>
    <t>Acciones Correctivas
(Correspondientes a las causas básicas)</t>
  </si>
  <si>
    <t>Fecha programada</t>
  </si>
  <si>
    <t>5.1 Acciones inmediatas</t>
  </si>
  <si>
    <t>5. RESPUESTA AL INCIDENTE AMBIENTAL</t>
  </si>
  <si>
    <t>5.2 Acciones Correctivas</t>
  </si>
  <si>
    <t>Tipos de Suelo</t>
  </si>
  <si>
    <t>Arenoso</t>
  </si>
  <si>
    <t>Calizo</t>
  </si>
  <si>
    <t>Limoso</t>
  </si>
  <si>
    <t>Humífero o de tierra negra</t>
  </si>
  <si>
    <t>Arcilloso</t>
  </si>
  <si>
    <t>Pedregoso</t>
  </si>
  <si>
    <t>Salino</t>
  </si>
  <si>
    <t>De Turba</t>
  </si>
  <si>
    <t>Tipo de Agua</t>
  </si>
  <si>
    <t>Superficial</t>
  </si>
  <si>
    <t>Marina</t>
  </si>
  <si>
    <t>u</t>
  </si>
  <si>
    <t>Tn</t>
  </si>
  <si>
    <t>Lugar disposición</t>
  </si>
  <si>
    <t>Supervisor de Medio Ambiente (Titular Minero) a cargo del seguimiento y verificación:</t>
  </si>
  <si>
    <t>Adjuntar:
Croquis del lugar de la emergencia con georeferencia en coordenadas UTM DATUM WGS84 (obligatorio)
Registro de medios audiovisuales y demás medios probatorios que muestren la secuencia de los hechos, desde el primer acercamiento al lugar de la emergencia hasta las acciones de control o corrección efectuadas. En dichos medios se debe indicar la fecha, hora y su georeferencia en coordenadas UTM DATUM WGS84 (obligatorio).
Otros (especificar)</t>
  </si>
  <si>
    <t>8.8 Documentos de referencia, instrucciones y publicaciones de asesoramiento inadecuados a nuestra disposición.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</si>
  <si>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</si>
  <si>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JU-MAP-STD-001.F02</t>
  </si>
  <si>
    <t>Minería</t>
  </si>
  <si>
    <t>Marcobre SAC</t>
  </si>
  <si>
    <t>Jr. Lorenzo Bernini 149, Oficina 301, San Borja - Lima</t>
  </si>
  <si>
    <t>N° trabajadores en el centro laboral:</t>
  </si>
  <si>
    <t>2.1 Contratista</t>
  </si>
  <si>
    <t>MAA01. Afectar a la flora/fauna/sitios arqueológicos.</t>
  </si>
  <si>
    <t>MAA02. Descargar aguas no autorizadas.</t>
  </si>
  <si>
    <t>MAA03. Generar material particulado no controlado (polvo).</t>
  </si>
  <si>
    <t>MAA04. Generar ruido ambiental molesto.</t>
  </si>
  <si>
    <t>MAA05. Quemar residuos sólidos</t>
  </si>
  <si>
    <t>MAA06. Realizar movimiento de tierras sin autorización.</t>
  </si>
  <si>
    <t>MAA07. Realizar trabajos sin evaluación ambiental.</t>
  </si>
  <si>
    <t>MAA08. Realizar trabajos sin controles ambientales o con controles deficientes.</t>
  </si>
  <si>
    <t>MAA09. Regar vías con aguas fuera de los LMP.</t>
  </si>
  <si>
    <t>MAA10. Segregar incorrectamente los residuos.</t>
  </si>
  <si>
    <t>MAA11. Transitar por vías no autorizadas: Disturbar áreas/generar polvo</t>
  </si>
  <si>
    <t>MAA12. Ejecutar trabajos en áreas sin certificación ambiental y/o permiso</t>
  </si>
  <si>
    <t>MAA13. Usar productos químicos no evaluados.</t>
  </si>
  <si>
    <t>MAA14. Kit antiderrame fuera de estándar en vehículos, equipos y estaciones fijas</t>
  </si>
  <si>
    <t>MAA15. Hacer fuego abierto SIN autorización.</t>
  </si>
  <si>
    <t>MAA16. No aplicar los controles preventivos para derrames.</t>
  </si>
  <si>
    <t>MAA17. Trabajar bajo la influencia de alcohol y/o drogas</t>
  </si>
  <si>
    <t>MAA18. Desperdiciar energía eléctrica.</t>
  </si>
  <si>
    <t>MAA19. Trabajar en ambientes con presencia de derrames de productos químicos.</t>
  </si>
  <si>
    <t>MAA20. Desperdiciar agua potable o de proceso.</t>
  </si>
  <si>
    <t>MAA21. Trabajar haciendo bromas o jugando</t>
  </si>
  <si>
    <t>MAA22. Operar a velocidad incorrecta</t>
  </si>
  <si>
    <t>MAA23. Otros actos ambientales subestándares.</t>
  </si>
  <si>
    <t>MAC01. Acumulación de residuos en áeras no autorizadas.</t>
  </si>
  <si>
    <t>MAC02. Almacenamiento Inadecuado de Materiales o Productos.</t>
  </si>
  <si>
    <t>MAC03. Ausencia de MSDS.</t>
  </si>
  <si>
    <t>MAC04. Ausencia o mal estado de controles ambientales.</t>
  </si>
  <si>
    <t>MAC05. Ausencia/inadecuado sistema de contención (Picado, rajado, falta capacidad, etc).</t>
  </si>
  <si>
    <t>MAC06. Cilindros o contenedores de residuos complemente llenos.</t>
  </si>
  <si>
    <t>MAC07. Cilindros o contenedores de residuos fuera de estándar.</t>
  </si>
  <si>
    <t>MAC08. Déficit de cilindros para almacenar residuos.</t>
  </si>
  <si>
    <t>MAC09. Emanación de olores desagradables.</t>
  </si>
  <si>
    <t>MAC10. Equipo sin mantenimiento preventivo.</t>
  </si>
  <si>
    <t>MAC11. Falta de orden y limpieza en el áera de trabajo.</t>
  </si>
  <si>
    <t>MAC12. Falta o fuera de estándar del kit antiderrame.</t>
  </si>
  <si>
    <t>MAC13. Mangueras/Tuberías en mal estado.</t>
  </si>
  <si>
    <t>MAC14. Presencia de animales muertos.</t>
  </si>
  <si>
    <t>MAC15. Presencia de derrames en el área de trabajo.</t>
  </si>
  <si>
    <t>MAC16. Presencia de material particulado (polvo).</t>
  </si>
  <si>
    <t>MAC17. Presencia de ruido ambiental molesto.</t>
  </si>
  <si>
    <t>MAC18. Punto de acopio de residuos sólidos fuera de estándar.</t>
  </si>
  <si>
    <t>MAC19. Recipientes con riesgo de desborde.</t>
  </si>
  <si>
    <t>MAC20. Residuos mal segregados.</t>
  </si>
  <si>
    <t>MAC21. Otras condiciones ambientales subestánadares.</t>
  </si>
  <si>
    <t>Fecha Inicio Investigación:</t>
  </si>
  <si>
    <t>Fecha del Incidente:</t>
  </si>
  <si>
    <t>Hora del Incidente:</t>
  </si>
  <si>
    <t>Coordenadas UTM DATUM WGS84:</t>
  </si>
  <si>
    <t>Localidad/Zona/Sector:</t>
  </si>
  <si>
    <t>Gerencia responsable (Titular Minero):</t>
  </si>
  <si>
    <t>Edad</t>
  </si>
  <si>
    <t>Puesto de Trabajo</t>
  </si>
  <si>
    <t>Turno:</t>
  </si>
  <si>
    <t>Turno</t>
  </si>
  <si>
    <t>Día</t>
  </si>
  <si>
    <t>Noche</t>
  </si>
  <si>
    <t>gal</t>
  </si>
  <si>
    <t>kg</t>
  </si>
  <si>
    <t>Tipo de Flora</t>
  </si>
  <si>
    <t>Tilansias</t>
  </si>
  <si>
    <t>Especie Fauna</t>
  </si>
  <si>
    <t>Guanaco</t>
  </si>
  <si>
    <t>Golondrina</t>
  </si>
  <si>
    <t>Lobo de mar</t>
  </si>
  <si>
    <t>Pingüino</t>
  </si>
  <si>
    <t>Serpiente</t>
  </si>
  <si>
    <t>Ratón orejón</t>
  </si>
  <si>
    <t>Perro doméstico</t>
  </si>
  <si>
    <t>Zorro costeño</t>
  </si>
  <si>
    <t>Cancha de volatización</t>
  </si>
  <si>
    <t>Almacén Temporal de Residuos Industriales (ATRI)</t>
  </si>
  <si>
    <t>Unidades de flora:</t>
  </si>
  <si>
    <t>Volumen de agua alterada:</t>
  </si>
  <si>
    <t>Restos Arqueológicos</t>
  </si>
  <si>
    <t>SI</t>
  </si>
  <si>
    <t>NO</t>
  </si>
  <si>
    <t>¿Restos arqueológicos?</t>
  </si>
  <si>
    <t>Nombre del resto arqueológico</t>
  </si>
  <si>
    <t>3.2 Datos de los involucrados</t>
  </si>
  <si>
    <t>3.3 Datos del derrame o fuga (Llenar esta sección si el incidente ambiental corresponde a un derrame o fuga de un producto)</t>
  </si>
  <si>
    <t>Empresa</t>
  </si>
  <si>
    <t>3.4 Impactos Ambientales o daños derivados del incidente</t>
  </si>
  <si>
    <t>Material de relleno</t>
  </si>
  <si>
    <t>EO-RS (recolección, transporte y disposición):</t>
  </si>
  <si>
    <t>Estado del equipo después del incidente</t>
  </si>
  <si>
    <t>Inoperativo</t>
  </si>
  <si>
    <t>Operativo parcialmente</t>
  </si>
  <si>
    <t>|||||||||||||||||||| FACTORES PERSONALES  ||||||||||||||||||||</t>
  </si>
  <si>
    <t>||||||||||||||||||  FACTORES DE TRABAJO   |||||||||||||||||</t>
  </si>
  <si>
    <t>Responsable Contratista</t>
  </si>
  <si>
    <t>7. SEGUIMIENTO Y VERIFICACIÓN</t>
  </si>
  <si>
    <t>6. EVIDENCIA DE LA INVESTIGACIÓN</t>
  </si>
  <si>
    <t>INSERT INTO Tb_Factor_Causa_Incidente VALUES('</t>
  </si>
  <si>
    <t>,'Factor Personal','ACT')</t>
  </si>
  <si>
    <t>,'Factor Laboral','ACT')</t>
  </si>
  <si>
    <t>Responsable Marcobre</t>
  </si>
  <si>
    <t>Tipo Involucrado</t>
  </si>
  <si>
    <t>Nombres y Apellidos</t>
  </si>
  <si>
    <t>DNI/Pasaporte</t>
  </si>
  <si>
    <t>Producto</t>
  </si>
  <si>
    <t>Estado del producto</t>
  </si>
  <si>
    <t>Cantidad derramada</t>
  </si>
  <si>
    <t>Equipo(s) que originó u originaron el incidente</t>
  </si>
  <si>
    <t>Cantidad producto recuperado</t>
  </si>
  <si>
    <t>Cantidad de producto no recuperado</t>
  </si>
  <si>
    <t>Área afectada:</t>
  </si>
  <si>
    <t>Cantidad de tierra impregnada:</t>
  </si>
  <si>
    <t>Cantidad Total de Residuos Sólidos Generados:</t>
  </si>
  <si>
    <t>Cantidad Total de Residuos Líquidos Generados:</t>
  </si>
  <si>
    <t>Medio Ambiente</t>
  </si>
  <si>
    <t>REPORTE DE INCIDENTE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</si>
</sst>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 Narrow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vertAlign val="superscript"/>
      <sz val="10"/>
      <color theme="1"/>
      <name val="Arial"/>
      <family val="2"/>
    </font>
    <font>
      <sz val="8"/>
      <name val="Arial"/>
      <family val="2"/>
    </font>
    <font>
      <sz val="10"/>
      <color indexed="63"/>
      <name val="Arial"/>
      <family val="2"/>
    </font>
    <font>
      <vertAlign val="superscript"/>
      <sz val="11"/>
      <color theme="1"/>
      <name val="Calibri"/>
      <family val="2"/>
      <scheme val="minor"/>
    </font>
    <font>
      <sz val="10"/>
      <name val="Arial Narrow"/>
      <family val="2"/>
    </font>
    <font>
      <u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D649B"/>
        <bgColor indexed="64"/>
      </patternFill>
    </fill>
    <fill>
      <patternFill patternType="solid">
        <fgColor rgb="FFCD3728"/>
        <bgColor indexed="64"/>
      </patternFill>
    </fill>
    <fill>
      <patternFill patternType="solid">
        <fgColor rgb="FFE1CD00"/>
        <bgColor indexed="64"/>
      </patternFill>
    </fill>
    <fill>
      <patternFill patternType="solid">
        <fgColor rgb="FF41B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225">
    <xf numFmtId="0" fontId="0" fillId="0" borderId="0" xfId="0"/>
    <xf numFmtId="0" fontId="6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3" fillId="3" borderId="8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14" fontId="3" fillId="3" borderId="6" xfId="0" applyNumberFormat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6" borderId="8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wrapText="1"/>
      <protection hidden="1"/>
    </xf>
    <xf numFmtId="0" fontId="8" fillId="0" borderId="0" xfId="0" applyFont="1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0" xfId="0" applyFont="1" applyAlignment="1" applyProtection="1">
      <alignment horizontal="left"/>
      <protection hidden="1"/>
    </xf>
    <xf numFmtId="0" fontId="0" fillId="0" borderId="0" xfId="0" applyProtection="1">
      <protection hidden="1"/>
    </xf>
    <xf numFmtId="0" fontId="10" fillId="5" borderId="1" xfId="0" applyFont="1" applyFill="1" applyBorder="1" applyAlignment="1" applyProtection="1">
      <alignment vertical="center" wrapText="1"/>
      <protection hidden="1"/>
    </xf>
    <xf numFmtId="0" fontId="10" fillId="5" borderId="6" xfId="0" applyFont="1" applyFill="1" applyBorder="1" applyAlignment="1" applyProtection="1">
      <alignment vertical="center" wrapText="1"/>
      <protection hidden="1"/>
    </xf>
    <xf numFmtId="0" fontId="10" fillId="5" borderId="8" xfId="0" applyFont="1" applyFill="1" applyBorder="1" applyAlignment="1" applyProtection="1">
      <alignment vertical="center" wrapText="1"/>
      <protection hidden="1"/>
    </xf>
    <xf numFmtId="0" fontId="10" fillId="5" borderId="5" xfId="0" applyFont="1" applyFill="1" applyBorder="1" applyAlignment="1" applyProtection="1">
      <alignment vertical="center" wrapText="1"/>
      <protection hidden="1"/>
    </xf>
    <xf numFmtId="0" fontId="10" fillId="5" borderId="1" xfId="1" applyFont="1" applyFill="1" applyBorder="1" applyAlignment="1" applyProtection="1">
      <alignment horizontal="center" vertical="center"/>
      <protection hidden="1"/>
    </xf>
    <xf numFmtId="0" fontId="10" fillId="5" borderId="1" xfId="0" applyFont="1" applyFill="1" applyBorder="1" applyAlignment="1" applyProtection="1">
      <alignment horizontal="center" vertical="center" wrapText="1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0" fontId="10" fillId="5" borderId="1" xfId="0" applyFont="1" applyFill="1" applyBorder="1" applyAlignment="1" applyProtection="1">
      <alignment horizontal="center"/>
      <protection hidden="1"/>
    </xf>
    <xf numFmtId="0" fontId="1" fillId="5" borderId="1" xfId="0" applyFont="1" applyFill="1" applyBorder="1" applyAlignment="1" applyProtection="1">
      <alignment horizontal="center" vertical="center" wrapText="1"/>
      <protection hidden="1"/>
    </xf>
    <xf numFmtId="0" fontId="10" fillId="6" borderId="1" xfId="0" applyFont="1" applyFill="1" applyBorder="1" applyAlignment="1" applyProtection="1">
      <alignment vertical="center" wrapText="1"/>
      <protection hidden="1"/>
    </xf>
    <xf numFmtId="0" fontId="10" fillId="6" borderId="8" xfId="0" applyFont="1" applyFill="1" applyBorder="1" applyAlignment="1" applyProtection="1">
      <alignment vertical="center" wrapText="1"/>
      <protection hidden="1"/>
    </xf>
    <xf numFmtId="0" fontId="10" fillId="6" borderId="5" xfId="0" applyFont="1" applyFill="1" applyBorder="1" applyAlignment="1" applyProtection="1">
      <alignment horizontal="center" vertical="center" wrapText="1"/>
      <protection hidden="1"/>
    </xf>
    <xf numFmtId="0" fontId="10" fillId="6" borderId="3" xfId="0" applyFont="1" applyFill="1" applyBorder="1" applyAlignment="1" applyProtection="1">
      <alignment vertical="center"/>
      <protection hidden="1"/>
    </xf>
    <xf numFmtId="0" fontId="10" fillId="6" borderId="3" xfId="0" applyFont="1" applyFill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10" fillId="6" borderId="9" xfId="0" applyFont="1" applyFill="1" applyBorder="1" applyAlignment="1" applyProtection="1">
      <alignment horizontal="center" vertical="center"/>
      <protection hidden="1"/>
    </xf>
    <xf numFmtId="0" fontId="10" fillId="6" borderId="10" xfId="0" applyFont="1" applyFill="1" applyBorder="1" applyAlignment="1" applyProtection="1">
      <alignment horizontal="center" vertical="center"/>
      <protection hidden="1"/>
    </xf>
    <xf numFmtId="0" fontId="3" fillId="0" borderId="1" xfId="1" applyBorder="1" applyAlignment="1" applyProtection="1">
      <alignment horizontal="left" vertical="center"/>
      <protection hidden="1"/>
    </xf>
    <xf numFmtId="0" fontId="6" fillId="0" borderId="1" xfId="0" applyFont="1" applyBorder="1" applyAlignment="1" applyProtection="1">
      <alignment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vertical="center"/>
      <protection hidden="1"/>
    </xf>
    <xf numFmtId="0" fontId="11" fillId="0" borderId="0" xfId="0" applyFont="1" applyProtection="1">
      <protection hidden="1"/>
    </xf>
    <xf numFmtId="0" fontId="3" fillId="0" borderId="1" xfId="0" applyFont="1" applyBorder="1" applyAlignment="1" applyProtection="1">
      <alignment wrapText="1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vertical="center" wrapText="1"/>
      <protection hidden="1"/>
    </xf>
    <xf numFmtId="0" fontId="7" fillId="7" borderId="1" xfId="0" applyFont="1" applyFill="1" applyBorder="1" applyAlignment="1" applyProtection="1">
      <alignment horizontal="center" vertical="center"/>
      <protection hidden="1"/>
    </xf>
    <xf numFmtId="0" fontId="7" fillId="7" borderId="1" xfId="0" applyFont="1" applyFill="1" applyBorder="1" applyAlignment="1" applyProtection="1">
      <alignment vertical="center" wrapText="1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10" fillId="6" borderId="1" xfId="0" applyFont="1" applyFill="1" applyBorder="1" applyAlignment="1" applyProtection="1">
      <alignment vertical="center"/>
      <protection hidden="1"/>
    </xf>
    <xf numFmtId="0" fontId="2" fillId="0" borderId="2" xfId="0" applyFont="1" applyBorder="1" applyAlignment="1" applyProtection="1">
      <alignment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3" fillId="0" borderId="1" xfId="0" applyFont="1" applyBorder="1" applyAlignment="1" applyProtection="1">
      <alignment vertical="center" wrapText="1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justify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 wrapText="1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/>
      <protection hidden="1"/>
    </xf>
    <xf numFmtId="0" fontId="3" fillId="3" borderId="1" xfId="0" applyFont="1" applyFill="1" applyBorder="1" applyAlignment="1" applyProtection="1">
      <alignment vertical="top"/>
      <protection hidden="1"/>
    </xf>
    <xf numFmtId="0" fontId="6" fillId="0" borderId="0" xfId="0" applyFont="1" applyProtection="1"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3" fillId="0" borderId="1" xfId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3" fillId="9" borderId="1" xfId="0" applyFont="1" applyFill="1" applyBorder="1" applyAlignment="1" applyProtection="1">
      <alignment vertical="center"/>
      <protection hidden="1"/>
    </xf>
    <xf numFmtId="0" fontId="0" fillId="0" borderId="1" xfId="0" applyBorder="1" applyProtection="1">
      <protection hidden="1"/>
    </xf>
    <xf numFmtId="0" fontId="3" fillId="2" borderId="1" xfId="0" applyFont="1" applyFill="1" applyBorder="1" applyProtection="1">
      <protection hidden="1"/>
    </xf>
    <xf numFmtId="2" fontId="3" fillId="0" borderId="1" xfId="0" applyNumberFormat="1" applyFont="1" applyBorder="1" applyAlignment="1" applyProtection="1">
      <alignment vertical="center"/>
      <protection hidden="1"/>
    </xf>
    <xf numFmtId="0" fontId="6" fillId="0" borderId="1" xfId="0" applyFont="1" applyBorder="1" applyProtection="1">
      <protection hidden="1"/>
    </xf>
    <xf numFmtId="2" fontId="6" fillId="0" borderId="1" xfId="0" applyNumberFormat="1" applyFont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3" fillId="0" borderId="1" xfId="0" applyFont="1" applyBorder="1" applyProtection="1">
      <protection hidden="1"/>
    </xf>
    <xf numFmtId="0" fontId="7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Protection="1">
      <protection hidden="1"/>
    </xf>
    <xf numFmtId="0" fontId="10" fillId="6" borderId="6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14" fillId="0" borderId="1" xfId="0" applyFont="1" applyBorder="1" applyAlignment="1" applyProtection="1">
      <alignment horizontal="left" vertical="center" wrapText="1"/>
      <protection hidden="1"/>
    </xf>
    <xf numFmtId="0" fontId="0" fillId="0" borderId="7" xfId="0" applyBorder="1" applyProtection="1"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10" fillId="6" borderId="6" xfId="0" applyFont="1" applyFill="1" applyBorder="1" applyAlignment="1" applyProtection="1">
      <alignment vertical="center" wrapText="1"/>
      <protection hidden="1"/>
    </xf>
    <xf numFmtId="0" fontId="10" fillId="6" borderId="6" xfId="0" applyFont="1" applyFill="1" applyBorder="1" applyAlignment="1" applyProtection="1">
      <alignment horizontal="left" vertical="center" wrapText="1"/>
      <protection hidden="1"/>
    </xf>
    <xf numFmtId="0" fontId="7" fillId="7" borderId="1" xfId="0" applyFont="1" applyFill="1" applyBorder="1" applyAlignment="1" applyProtection="1">
      <alignment horizontal="center" vertical="center" wrapText="1"/>
      <protection hidden="1"/>
    </xf>
    <xf numFmtId="2" fontId="6" fillId="0" borderId="1" xfId="0" applyNumberFormat="1" applyFont="1" applyBorder="1" applyAlignment="1" applyProtection="1">
      <alignment horizontal="center" vertical="center" wrapText="1"/>
      <protection hidden="1"/>
    </xf>
    <xf numFmtId="0" fontId="6" fillId="8" borderId="1" xfId="0" applyFont="1" applyFill="1" applyBorder="1" applyAlignment="1" applyProtection="1">
      <alignment horizontal="center" vertical="center" wrapText="1"/>
      <protection hidden="1"/>
    </xf>
    <xf numFmtId="0" fontId="6" fillId="8" borderId="1" xfId="0" applyFont="1" applyFill="1" applyBorder="1" applyAlignment="1" applyProtection="1">
      <alignment vertical="center" wrapText="1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 wrapText="1"/>
      <protection hidden="1"/>
    </xf>
    <xf numFmtId="0" fontId="10" fillId="6" borderId="1" xfId="0" applyFont="1" applyFill="1" applyBorder="1" applyAlignment="1" applyProtection="1">
      <alignment horizontal="center" vertical="center"/>
      <protection hidden="1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vertical="center" wrapText="1"/>
    </xf>
    <xf numFmtId="0" fontId="13" fillId="0" borderId="1" xfId="0" applyFont="1" applyBorder="1" applyAlignment="1" applyProtection="1">
      <alignment horizontal="left" vertical="center" wrapText="1"/>
      <protection hidden="1"/>
    </xf>
    <xf numFmtId="0" fontId="2" fillId="10" borderId="12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left" vertical="center"/>
    </xf>
    <xf numFmtId="0" fontId="3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3" fillId="0" borderId="0" xfId="0" quotePrefix="1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 wrapText="1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 applyProtection="1">
      <alignment horizontal="left"/>
      <protection hidden="1"/>
    </xf>
    <xf numFmtId="0" fontId="2" fillId="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2" fillId="10" borderId="1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right" vertical="center" wrapText="1"/>
    </xf>
    <xf numFmtId="0" fontId="7" fillId="10" borderId="1" xfId="0" applyFont="1" applyFill="1" applyBorder="1" applyAlignment="1">
      <alignment horizontal="left" vertical="center"/>
    </xf>
    <xf numFmtId="0" fontId="10" fillId="5" borderId="8" xfId="0" applyFont="1" applyFill="1" applyBorder="1" applyAlignment="1" applyProtection="1">
      <alignment horizontal="center" vertical="center" wrapText="1"/>
      <protection hidden="1"/>
    </xf>
    <xf numFmtId="0" fontId="10" fillId="5" borderId="5" xfId="0" applyFont="1" applyFill="1" applyBorder="1" applyAlignment="1" applyProtection="1">
      <alignment horizontal="center" vertical="center" wrapText="1"/>
      <protection hidden="1"/>
    </xf>
    <xf numFmtId="0" fontId="10" fillId="5" borderId="6" xfId="0" applyFont="1" applyFill="1" applyBorder="1" applyAlignment="1" applyProtection="1">
      <alignment horizontal="center" vertical="center" wrapText="1"/>
      <protection hidden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</cellXfs>
  <cellStyles count="3">
    <cellStyle name="Euro" xfId="2" xr:uid="{00000000-0005-0000-0000-000000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FFCD00"/>
      <color rgb="FFCD3728"/>
      <color rgb="FF2D649B"/>
      <color rgb="FF41B6E6"/>
      <color rgb="FFE1CD00"/>
      <color rgb="FFAA312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57055</xdr:colOff>
      <xdr:row>1</xdr:row>
      <xdr:rowOff>342537</xdr:rowOff>
    </xdr:from>
    <xdr:to>
      <xdr:col>1</xdr:col>
      <xdr:colOff>1276350</xdr:colOff>
      <xdr:row>2</xdr:row>
      <xdr:rowOff>290637</xdr:rowOff>
    </xdr:to>
    <xdr:pic>
      <xdr:nvPicPr>
        <xdr:cNvPr id="2" name="Imagen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730" y="418737"/>
          <a:ext cx="1219295" cy="40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214416</xdr:colOff>
      <xdr:row>1</xdr:row>
      <xdr:rowOff>81997</xdr:rowOff>
    </xdr:from>
    <xdr:to>
      <xdr:col>32</xdr:col>
      <xdr:colOff>180264</xdr:colOff>
      <xdr:row>3</xdr:row>
      <xdr:rowOff>255650</xdr:rowOff>
    </xdr:to>
    <xdr:pic>
      <xdr:nvPicPr>
        <xdr:cNvPr id="3" name="Imagen 41" descr="C:\Users\srimachic\Downloads\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1041" y="153435"/>
          <a:ext cx="787379" cy="9356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K54"/>
  <sheetViews>
    <sheetView showGridLines="0" tabSelected="1" zoomScale="85" zoomScaleNormal="85" workbookViewId="0">
      <selection activeCell="B2" sqref="B2:B4"/>
    </sheetView>
  </sheetViews>
  <sheetFormatPr baseColWidth="10" defaultColWidth="11.453125" defaultRowHeight="12.5" x14ac:dyDescent="0.25"/>
  <cols>
    <col min="1" max="1" width="1" style="5" customWidth="1"/>
    <col min="2" max="2" width="23.1796875" style="5" customWidth="1"/>
    <col min="3" max="3" width="2.54296875" style="5" customWidth="1"/>
    <col min="4" max="4" width="4.54296875" style="5" customWidth="1"/>
    <col min="5" max="5" width="3.1796875" style="5" customWidth="1"/>
    <col min="6" max="6" width="4.453125" style="5" customWidth="1"/>
    <col min="7" max="7" width="7.453125" style="5" customWidth="1"/>
    <col min="8" max="8" width="5.81640625" style="5" customWidth="1"/>
    <col min="9" max="9" width="5.1796875" style="5" customWidth="1"/>
    <col min="10" max="10" width="6.7265625" style="5" customWidth="1"/>
    <col min="11" max="11" width="5.7265625" style="5" customWidth="1"/>
    <col min="12" max="12" width="6.1796875" style="5" customWidth="1"/>
    <col min="13" max="13" width="4.7265625" style="5" customWidth="1"/>
    <col min="14" max="14" width="8.7265625" style="5" customWidth="1"/>
    <col min="15" max="15" width="5.54296875" style="5" customWidth="1"/>
    <col min="16" max="16" width="2.7265625" style="5" customWidth="1"/>
    <col min="17" max="17" width="5.26953125" style="5" customWidth="1"/>
    <col min="18" max="18" width="4.54296875" style="5" customWidth="1"/>
    <col min="19" max="19" width="8.81640625" style="5" customWidth="1"/>
    <col min="20" max="20" width="6" style="5" customWidth="1"/>
    <col min="21" max="21" width="6.7265625" style="5" customWidth="1"/>
    <col min="22" max="23" width="5" style="5" customWidth="1"/>
    <col min="24" max="24" width="6.54296875" style="5" customWidth="1"/>
    <col min="25" max="25" width="2.81640625" style="5" customWidth="1"/>
    <col min="26" max="26" width="5.453125" style="5" customWidth="1"/>
    <col min="27" max="27" width="4.1796875" style="5" customWidth="1"/>
    <col min="28" max="28" width="4.26953125" style="5" customWidth="1"/>
    <col min="29" max="29" width="6" style="5" customWidth="1"/>
    <col min="30" max="30" width="7.54296875" style="5" customWidth="1"/>
    <col min="31" max="31" width="3.26953125" style="5" customWidth="1"/>
    <col min="32" max="32" width="1.54296875" style="5" customWidth="1"/>
    <col min="33" max="33" width="11.7265625" style="5" customWidth="1"/>
    <col min="34" max="16384" width="11.453125" style="5"/>
  </cols>
  <sheetData>
    <row r="1" spans="1:271" ht="6" customHeight="1" x14ac:dyDescent="0.25"/>
    <row r="2" spans="1:271" ht="36" customHeight="1" x14ac:dyDescent="0.25">
      <c r="A2" s="1"/>
      <c r="B2" s="184"/>
      <c r="C2" s="187" t="s">
        <v>722</v>
      </c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91"/>
      <c r="AD2" s="191"/>
      <c r="AE2" s="191"/>
      <c r="AF2" s="191"/>
      <c r="AG2" s="19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</row>
    <row r="3" spans="1:271" ht="24.75" customHeight="1" x14ac:dyDescent="0.25">
      <c r="A3" s="1"/>
      <c r="B3" s="184"/>
      <c r="C3" s="181" t="s">
        <v>8</v>
      </c>
      <c r="D3" s="182"/>
      <c r="E3" s="182"/>
      <c r="F3" s="189" t="s">
        <v>606</v>
      </c>
      <c r="G3" s="189"/>
      <c r="H3" s="189"/>
      <c r="I3" s="189"/>
      <c r="J3" s="189"/>
      <c r="K3" s="189"/>
      <c r="L3" s="190"/>
      <c r="M3" s="171" t="s">
        <v>10</v>
      </c>
      <c r="N3" s="172"/>
      <c r="O3" s="172"/>
      <c r="P3" s="174">
        <v>45931</v>
      </c>
      <c r="Q3" s="175"/>
      <c r="R3" s="175"/>
      <c r="S3" s="176"/>
      <c r="T3" s="3" t="s">
        <v>9</v>
      </c>
      <c r="V3" s="172">
        <v>1</v>
      </c>
      <c r="W3" s="172"/>
      <c r="X3" s="172"/>
      <c r="Y3" s="172"/>
      <c r="Z3" s="172"/>
      <c r="AA3" s="172"/>
      <c r="AB3" s="172"/>
      <c r="AC3" s="191"/>
      <c r="AD3" s="191"/>
      <c r="AE3" s="191"/>
      <c r="AF3" s="191"/>
      <c r="AG3" s="191"/>
      <c r="AI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</row>
    <row r="4" spans="1:271" ht="24.75" customHeight="1" x14ac:dyDescent="0.25">
      <c r="A4" s="1"/>
      <c r="B4" s="184"/>
      <c r="C4" s="181" t="s">
        <v>7</v>
      </c>
      <c r="D4" s="182"/>
      <c r="E4" s="182" t="s">
        <v>721</v>
      </c>
      <c r="F4" s="182"/>
      <c r="G4" s="182"/>
      <c r="H4" s="182"/>
      <c r="I4" s="182"/>
      <c r="J4" s="182"/>
      <c r="K4" s="182"/>
      <c r="L4" s="183"/>
      <c r="M4" s="171" t="s">
        <v>0</v>
      </c>
      <c r="N4" s="172"/>
      <c r="O4" s="172">
        <v>1</v>
      </c>
      <c r="P4" s="172"/>
      <c r="Q4" s="172"/>
      <c r="R4" s="172"/>
      <c r="S4" s="177"/>
      <c r="T4" s="179" t="s">
        <v>11</v>
      </c>
      <c r="U4" s="180"/>
      <c r="V4" s="180"/>
      <c r="W4" s="180"/>
      <c r="X4" s="180"/>
      <c r="Y4" s="185">
        <v>45919</v>
      </c>
      <c r="Z4" s="186"/>
      <c r="AA4" s="186"/>
      <c r="AB4" s="186"/>
      <c r="AC4" s="191"/>
      <c r="AD4" s="191"/>
      <c r="AE4" s="191"/>
      <c r="AF4" s="191"/>
      <c r="AG4" s="191"/>
      <c r="AI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</row>
    <row r="5" spans="1:271" ht="10" customHeight="1" x14ac:dyDescent="0.25">
      <c r="A5" s="1"/>
      <c r="B5" s="22"/>
      <c r="C5" s="23"/>
      <c r="D5" s="26"/>
      <c r="E5" s="26"/>
      <c r="F5" s="26"/>
      <c r="G5" s="26"/>
      <c r="H5" s="26"/>
      <c r="I5" s="26"/>
      <c r="J5" s="26"/>
      <c r="K5" s="26"/>
      <c r="L5" s="26"/>
      <c r="M5" s="25"/>
      <c r="N5" s="25"/>
      <c r="O5" s="25"/>
      <c r="P5" s="25"/>
      <c r="Q5" s="25"/>
      <c r="R5" s="25"/>
      <c r="S5" s="27"/>
      <c r="T5" s="27"/>
      <c r="U5" s="27"/>
      <c r="V5" s="27"/>
      <c r="W5" s="27"/>
      <c r="X5" s="28"/>
      <c r="Y5" s="28"/>
      <c r="Z5" s="28"/>
      <c r="AA5" s="28"/>
      <c r="AB5" s="28"/>
      <c r="AC5" s="24"/>
      <c r="AD5" s="24"/>
      <c r="AE5" s="24"/>
      <c r="AF5" s="24"/>
      <c r="AG5" s="24"/>
      <c r="AI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</row>
    <row r="6" spans="1:271" ht="19" customHeight="1" x14ac:dyDescent="0.25">
      <c r="B6" s="178" t="s">
        <v>470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2"/>
      <c r="AI6" s="2"/>
      <c r="AK6" s="2"/>
    </row>
    <row r="7" spans="1:271" ht="31.4" customHeight="1" x14ac:dyDescent="0.25">
      <c r="B7" s="127" t="s">
        <v>440</v>
      </c>
      <c r="C7" s="157" t="s">
        <v>608</v>
      </c>
      <c r="D7" s="157"/>
      <c r="E7" s="157"/>
      <c r="F7" s="157"/>
      <c r="G7" s="157"/>
      <c r="H7" s="157"/>
      <c r="I7" s="157"/>
      <c r="J7" s="157"/>
      <c r="K7" s="166" t="s">
        <v>443</v>
      </c>
      <c r="L7" s="166"/>
      <c r="M7" s="166"/>
      <c r="N7" s="160" t="s">
        <v>384</v>
      </c>
      <c r="O7" s="160"/>
      <c r="P7" s="160"/>
      <c r="Q7" s="160"/>
      <c r="R7" s="127" t="s">
        <v>441</v>
      </c>
      <c r="S7" s="127"/>
      <c r="T7" s="157">
        <v>20508972734</v>
      </c>
      <c r="U7" s="157"/>
      <c r="V7" s="157"/>
      <c r="W7" s="157"/>
      <c r="X7" s="157"/>
      <c r="Y7" s="156" t="s">
        <v>444</v>
      </c>
      <c r="Z7" s="156"/>
      <c r="AA7" s="156"/>
      <c r="AB7" s="156"/>
      <c r="AC7" s="157" t="s">
        <v>607</v>
      </c>
      <c r="AD7" s="157"/>
      <c r="AE7" s="157"/>
      <c r="AF7" s="157"/>
      <c r="AG7" s="157"/>
      <c r="AH7" s="2"/>
      <c r="AI7" s="2"/>
      <c r="AK7" s="2"/>
    </row>
    <row r="8" spans="1:271" ht="31.4" customHeight="1" x14ac:dyDescent="0.25">
      <c r="B8" s="136" t="s">
        <v>442</v>
      </c>
      <c r="C8" s="168" t="s">
        <v>609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70" t="s">
        <v>610</v>
      </c>
      <c r="S8" s="170"/>
      <c r="T8" s="170"/>
      <c r="U8" s="170"/>
      <c r="V8" s="170"/>
      <c r="W8" s="170"/>
      <c r="X8" s="170"/>
      <c r="Y8" s="168"/>
      <c r="Z8" s="168"/>
      <c r="AA8" s="168"/>
      <c r="AB8" s="168"/>
      <c r="AC8" s="168"/>
      <c r="AD8" s="168"/>
      <c r="AE8" s="168"/>
      <c r="AF8" s="168"/>
      <c r="AG8" s="168"/>
      <c r="AH8" s="2"/>
      <c r="AI8" s="224"/>
      <c r="AK8" s="2"/>
    </row>
    <row r="9" spans="1:271" ht="5.15" customHeight="1" x14ac:dyDescent="0.25">
      <c r="A9" s="1"/>
      <c r="B9" s="141"/>
      <c r="C9" s="29"/>
      <c r="D9" s="29"/>
      <c r="E9" s="29"/>
      <c r="F9" s="29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9"/>
      <c r="Y9" s="29"/>
      <c r="Z9" s="29"/>
      <c r="AA9" s="29"/>
      <c r="AB9" s="29"/>
      <c r="AC9" s="29"/>
      <c r="AD9" s="25"/>
      <c r="AE9" s="25"/>
      <c r="AF9" s="25"/>
      <c r="AG9" s="133"/>
      <c r="AH9" s="2"/>
      <c r="AI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</row>
    <row r="10" spans="1:271" ht="19" customHeight="1" x14ac:dyDescent="0.25">
      <c r="B10" s="155" t="s">
        <v>471</v>
      </c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2"/>
      <c r="AI10" s="2"/>
      <c r="AK10" s="2"/>
    </row>
    <row r="11" spans="1:271" ht="17.25" customHeight="1" x14ac:dyDescent="0.25">
      <c r="B11" s="158" t="s">
        <v>611</v>
      </c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2"/>
      <c r="AI11" s="2"/>
      <c r="AK11" s="2"/>
    </row>
    <row r="12" spans="1:271" ht="31.4" customHeight="1" x14ac:dyDescent="0.25">
      <c r="B12" s="127" t="s">
        <v>440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3" t="s">
        <v>441</v>
      </c>
      <c r="O12" s="157"/>
      <c r="P12" s="157"/>
      <c r="Q12" s="157"/>
      <c r="R12" s="157"/>
      <c r="S12" s="157"/>
      <c r="T12" s="157"/>
      <c r="U12" s="156" t="s">
        <v>444</v>
      </c>
      <c r="V12" s="156"/>
      <c r="W12" s="156"/>
      <c r="X12" s="156"/>
      <c r="Y12" s="157"/>
      <c r="Z12" s="157"/>
      <c r="AA12" s="157"/>
      <c r="AB12" s="157"/>
      <c r="AC12" s="157"/>
      <c r="AD12" s="157"/>
      <c r="AE12" s="157"/>
      <c r="AF12" s="157"/>
      <c r="AG12" s="157"/>
    </row>
    <row r="13" spans="1:271" ht="31.4" customHeight="1" x14ac:dyDescent="0.25">
      <c r="B13" s="126" t="s">
        <v>442</v>
      </c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59" t="s">
        <v>610</v>
      </c>
      <c r="S13" s="159"/>
      <c r="T13" s="159"/>
      <c r="U13" s="159"/>
      <c r="V13" s="159"/>
      <c r="W13" s="159"/>
      <c r="X13" s="159"/>
      <c r="Y13" s="160"/>
      <c r="Z13" s="160"/>
      <c r="AA13" s="160"/>
      <c r="AB13" s="160"/>
      <c r="AC13" s="160"/>
      <c r="AD13" s="160"/>
      <c r="AE13" s="160"/>
      <c r="AF13" s="160"/>
      <c r="AG13" s="160"/>
      <c r="AH13" s="2"/>
      <c r="AI13" s="2"/>
      <c r="AK13" s="2"/>
    </row>
    <row r="14" spans="1:271" ht="17.25" customHeight="1" x14ac:dyDescent="0.25">
      <c r="B14" s="158" t="s">
        <v>472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2"/>
      <c r="AI14" s="2"/>
      <c r="AK14" s="2"/>
    </row>
    <row r="15" spans="1:271" ht="31.4" customHeight="1" x14ac:dyDescent="0.25">
      <c r="B15" s="127" t="s">
        <v>440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3" t="s">
        <v>441</v>
      </c>
      <c r="O15" s="157"/>
      <c r="P15" s="157"/>
      <c r="Q15" s="157"/>
      <c r="R15" s="157"/>
      <c r="S15" s="157"/>
      <c r="T15" s="157"/>
      <c r="U15" s="156" t="s">
        <v>444</v>
      </c>
      <c r="V15" s="156"/>
      <c r="W15" s="156"/>
      <c r="X15" s="156"/>
      <c r="Y15" s="157"/>
      <c r="Z15" s="157"/>
      <c r="AA15" s="157"/>
      <c r="AB15" s="157"/>
      <c r="AC15" s="157"/>
      <c r="AD15" s="157"/>
      <c r="AE15" s="157"/>
      <c r="AF15" s="157"/>
      <c r="AG15" s="157"/>
    </row>
    <row r="16" spans="1:271" ht="31.4" customHeight="1" x14ac:dyDescent="0.25">
      <c r="B16" s="136" t="s">
        <v>442</v>
      </c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70" t="s">
        <v>610</v>
      </c>
      <c r="S16" s="170"/>
      <c r="T16" s="170"/>
      <c r="U16" s="170"/>
      <c r="V16" s="170"/>
      <c r="W16" s="170"/>
      <c r="X16" s="170"/>
      <c r="Y16" s="168"/>
      <c r="Z16" s="168"/>
      <c r="AA16" s="168"/>
      <c r="AB16" s="168"/>
      <c r="AC16" s="168"/>
      <c r="AD16" s="168"/>
      <c r="AE16" s="168"/>
      <c r="AF16" s="168"/>
      <c r="AG16" s="168"/>
      <c r="AH16" s="2"/>
      <c r="AI16" s="2"/>
      <c r="AK16" s="2"/>
    </row>
    <row r="17" spans="1:271" ht="5.15" hidden="1" customHeight="1" x14ac:dyDescent="0.25">
      <c r="B17" s="140"/>
      <c r="C17" s="132"/>
      <c r="D17" s="132"/>
      <c r="E17" s="132"/>
      <c r="F17" s="132"/>
      <c r="G17" s="132"/>
      <c r="H17" s="132"/>
      <c r="I17" s="132"/>
      <c r="J17" s="132"/>
      <c r="K17" s="35"/>
      <c r="L17" s="35"/>
      <c r="M17" s="35"/>
      <c r="N17" s="131"/>
      <c r="O17" s="131"/>
      <c r="P17" s="131"/>
      <c r="Q17" s="131"/>
      <c r="R17" s="131"/>
      <c r="S17" s="35"/>
      <c r="T17" s="132"/>
      <c r="U17" s="132"/>
      <c r="V17" s="132"/>
      <c r="W17" s="132"/>
      <c r="X17" s="35"/>
      <c r="Y17" s="35"/>
      <c r="Z17" s="35"/>
      <c r="AA17" s="35"/>
      <c r="AB17" s="35"/>
      <c r="AC17" s="35"/>
      <c r="AD17" s="129"/>
      <c r="AE17" s="129"/>
      <c r="AF17" s="129"/>
      <c r="AG17" s="130"/>
      <c r="AH17" s="2"/>
      <c r="AI17" s="2"/>
      <c r="AK17" s="2"/>
    </row>
    <row r="18" spans="1:271" ht="19" customHeight="1" x14ac:dyDescent="0.25">
      <c r="B18" s="167" t="s">
        <v>473</v>
      </c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2"/>
      <c r="AI18" s="2"/>
      <c r="AK18" s="2"/>
    </row>
    <row r="19" spans="1:271" ht="17.25" customHeight="1" x14ac:dyDescent="0.25">
      <c r="B19" s="158" t="s">
        <v>561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2"/>
      <c r="AI19" s="2"/>
      <c r="AK19" s="2"/>
    </row>
    <row r="20" spans="1:271" ht="31.4" customHeight="1" x14ac:dyDescent="0.25">
      <c r="A20" s="1"/>
      <c r="B20" s="125" t="s">
        <v>447</v>
      </c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6" t="s">
        <v>448</v>
      </c>
      <c r="R20" s="166"/>
      <c r="S20" s="166"/>
      <c r="T20" s="166"/>
      <c r="U20" s="166"/>
      <c r="V20" s="166"/>
      <c r="W20" s="166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2"/>
      <c r="AI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</row>
    <row r="21" spans="1:271" ht="31.4" customHeight="1" x14ac:dyDescent="0.25">
      <c r="A21" s="1"/>
      <c r="B21" s="126" t="s">
        <v>450</v>
      </c>
      <c r="C21" s="160"/>
      <c r="D21" s="160"/>
      <c r="E21" s="160"/>
      <c r="F21" s="160"/>
      <c r="G21" s="160"/>
      <c r="H21" s="160"/>
      <c r="I21" s="160"/>
      <c r="J21" s="160"/>
      <c r="K21" s="160"/>
      <c r="L21" s="169" t="s">
        <v>659</v>
      </c>
      <c r="M21" s="169"/>
      <c r="N21" s="169"/>
      <c r="O21" s="169"/>
      <c r="P21" s="169"/>
      <c r="Q21" s="159" t="s">
        <v>455</v>
      </c>
      <c r="R21" s="159"/>
      <c r="S21" s="159"/>
      <c r="T21" s="157"/>
      <c r="U21" s="157"/>
      <c r="V21" s="157"/>
      <c r="W21" s="157"/>
      <c r="X21" s="159" t="s">
        <v>456</v>
      </c>
      <c r="Y21" s="159"/>
      <c r="Z21" s="159"/>
      <c r="AA21" s="159"/>
      <c r="AB21" s="160"/>
      <c r="AC21" s="160"/>
      <c r="AD21" s="160"/>
      <c r="AE21" s="160"/>
      <c r="AF21" s="160"/>
      <c r="AG21" s="160"/>
      <c r="AH21" s="2"/>
      <c r="AI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</row>
    <row r="22" spans="1:271" ht="31.4" customHeight="1" x14ac:dyDescent="0.25">
      <c r="A22" s="1"/>
      <c r="B22" s="127" t="s">
        <v>660</v>
      </c>
      <c r="C22" s="160"/>
      <c r="D22" s="160"/>
      <c r="E22" s="160"/>
      <c r="F22" s="160"/>
      <c r="G22" s="160"/>
      <c r="H22" s="160"/>
      <c r="I22" s="160"/>
      <c r="J22" s="160"/>
      <c r="K22" s="160"/>
      <c r="L22" s="159" t="s">
        <v>445</v>
      </c>
      <c r="M22" s="159"/>
      <c r="N22" s="159"/>
      <c r="O22" s="159"/>
      <c r="P22" s="159"/>
      <c r="Q22" s="160"/>
      <c r="R22" s="160"/>
      <c r="S22" s="160"/>
      <c r="T22" s="159" t="s">
        <v>446</v>
      </c>
      <c r="U22" s="159"/>
      <c r="V22" s="159"/>
      <c r="W22" s="159"/>
      <c r="X22" s="160"/>
      <c r="Y22" s="160"/>
      <c r="Z22" s="160"/>
      <c r="AA22" s="160"/>
      <c r="AB22" s="159" t="s">
        <v>449</v>
      </c>
      <c r="AC22" s="159"/>
      <c r="AD22" s="159"/>
      <c r="AE22" s="173"/>
      <c r="AF22" s="173"/>
      <c r="AG22" s="173"/>
      <c r="AH22" s="2"/>
      <c r="AI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</row>
    <row r="23" spans="1:271" ht="31.4" customHeight="1" x14ac:dyDescent="0.25">
      <c r="A23" s="1"/>
      <c r="B23" s="126" t="s">
        <v>657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59" t="s">
        <v>658</v>
      </c>
      <c r="M23" s="159"/>
      <c r="N23" s="159"/>
      <c r="O23" s="159"/>
      <c r="P23" s="159"/>
      <c r="Q23" s="173"/>
      <c r="R23" s="173"/>
      <c r="S23" s="173"/>
      <c r="T23" s="159" t="s">
        <v>656</v>
      </c>
      <c r="U23" s="159"/>
      <c r="V23" s="159"/>
      <c r="W23" s="159"/>
      <c r="X23" s="157"/>
      <c r="Y23" s="157"/>
      <c r="Z23" s="157"/>
      <c r="AA23" s="157"/>
      <c r="AB23" s="159" t="s">
        <v>664</v>
      </c>
      <c r="AC23" s="159"/>
      <c r="AD23" s="159"/>
      <c r="AE23" s="160"/>
      <c r="AF23" s="160"/>
      <c r="AG23" s="160"/>
      <c r="AH23" s="2"/>
      <c r="AI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</row>
    <row r="24" spans="1:271" ht="74.5" customHeight="1" x14ac:dyDescent="0.25">
      <c r="A24" s="1"/>
      <c r="B24" s="126" t="s">
        <v>463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</row>
    <row r="25" spans="1:271" ht="23.5" customHeight="1" x14ac:dyDescent="0.25">
      <c r="A25" s="1"/>
      <c r="B25" s="158" t="s">
        <v>690</v>
      </c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</row>
    <row r="26" spans="1:271" ht="43.5" customHeight="1" x14ac:dyDescent="0.25">
      <c r="A26" s="1"/>
      <c r="B26" s="152" t="s">
        <v>661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</row>
    <row r="27" spans="1:271" ht="34.4" customHeight="1" x14ac:dyDescent="0.25">
      <c r="A27" s="1"/>
      <c r="B27" s="150" t="s">
        <v>708</v>
      </c>
      <c r="C27" s="194" t="s">
        <v>709</v>
      </c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3" t="s">
        <v>710</v>
      </c>
      <c r="R27" s="193"/>
      <c r="S27" s="193"/>
      <c r="T27" s="193"/>
      <c r="U27" s="193"/>
      <c r="V27" s="193" t="s">
        <v>662</v>
      </c>
      <c r="W27" s="193"/>
      <c r="X27" s="192" t="s">
        <v>663</v>
      </c>
      <c r="Y27" s="192"/>
      <c r="Z27" s="192"/>
      <c r="AA27" s="192"/>
      <c r="AB27" s="192"/>
      <c r="AC27" s="192"/>
      <c r="AD27" s="159" t="s">
        <v>692</v>
      </c>
      <c r="AE27" s="159"/>
      <c r="AF27" s="159"/>
      <c r="AG27" s="159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</row>
    <row r="28" spans="1:271" ht="21" customHeight="1" x14ac:dyDescent="0.25">
      <c r="A28" s="1"/>
      <c r="B28" s="158" t="s">
        <v>691</v>
      </c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</row>
    <row r="29" spans="1:271" ht="44.25" customHeight="1" x14ac:dyDescent="0.25">
      <c r="A29" s="1"/>
      <c r="B29" s="154" t="s">
        <v>711</v>
      </c>
      <c r="C29" s="192" t="s">
        <v>474</v>
      </c>
      <c r="D29" s="192"/>
      <c r="E29" s="192"/>
      <c r="F29" s="192"/>
      <c r="G29" s="192"/>
      <c r="H29" s="192"/>
      <c r="I29" s="192" t="s">
        <v>712</v>
      </c>
      <c r="J29" s="192"/>
      <c r="K29" s="192"/>
      <c r="L29" s="192"/>
      <c r="M29" s="192" t="s">
        <v>713</v>
      </c>
      <c r="N29" s="192"/>
      <c r="O29" s="192"/>
      <c r="P29" s="192" t="s">
        <v>714</v>
      </c>
      <c r="Q29" s="192"/>
      <c r="R29" s="192"/>
      <c r="S29" s="192"/>
      <c r="T29" s="192" t="s">
        <v>696</v>
      </c>
      <c r="U29" s="192"/>
      <c r="V29" s="192"/>
      <c r="W29" s="192"/>
      <c r="X29" s="192" t="s">
        <v>715</v>
      </c>
      <c r="Y29" s="192"/>
      <c r="Z29" s="192"/>
      <c r="AA29" s="192"/>
      <c r="AB29" s="192"/>
      <c r="AC29" s="192"/>
      <c r="AD29" s="192" t="s">
        <v>716</v>
      </c>
      <c r="AE29" s="192"/>
      <c r="AF29" s="192"/>
      <c r="AG29" s="19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</row>
    <row r="30" spans="1:271" ht="22.15" customHeight="1" x14ac:dyDescent="0.25">
      <c r="A30" s="1"/>
      <c r="B30" s="158" t="s">
        <v>693</v>
      </c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</row>
    <row r="31" spans="1:271" ht="31.4" customHeight="1" x14ac:dyDescent="0.25">
      <c r="A31" s="1"/>
      <c r="B31" s="151" t="s">
        <v>1</v>
      </c>
      <c r="C31" s="161" t="s">
        <v>563</v>
      </c>
      <c r="D31" s="161"/>
      <c r="E31" s="161"/>
      <c r="F31" s="195"/>
      <c r="G31" s="195"/>
      <c r="H31" s="195"/>
      <c r="I31" s="162" t="s">
        <v>717</v>
      </c>
      <c r="J31" s="162"/>
      <c r="K31" s="162"/>
      <c r="L31" s="162"/>
      <c r="M31" s="173"/>
      <c r="N31" s="173"/>
      <c r="O31" s="173"/>
      <c r="P31" s="173"/>
      <c r="Q31" s="162" t="s">
        <v>718</v>
      </c>
      <c r="R31" s="162"/>
      <c r="S31" s="162"/>
      <c r="T31" s="162"/>
      <c r="U31" s="162"/>
      <c r="V31" s="173"/>
      <c r="W31" s="173"/>
      <c r="X31" s="173"/>
      <c r="Y31" s="160"/>
      <c r="Z31" s="160"/>
      <c r="AA31" s="161" t="s">
        <v>565</v>
      </c>
      <c r="AB31" s="161"/>
      <c r="AC31" s="161"/>
      <c r="AD31" s="195"/>
      <c r="AE31" s="195"/>
      <c r="AF31" s="195"/>
      <c r="AG31" s="195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</row>
    <row r="32" spans="1:271" ht="31.4" customHeight="1" x14ac:dyDescent="0.25">
      <c r="A32" s="1"/>
      <c r="B32" s="151" t="s">
        <v>3</v>
      </c>
      <c r="C32" s="162" t="s">
        <v>564</v>
      </c>
      <c r="D32" s="162"/>
      <c r="E32" s="162"/>
      <c r="F32" s="195"/>
      <c r="G32" s="195"/>
      <c r="H32" s="195"/>
      <c r="I32" s="217" t="s">
        <v>683</v>
      </c>
      <c r="J32" s="217"/>
      <c r="K32" s="217"/>
      <c r="L32" s="217"/>
      <c r="M32" s="173"/>
      <c r="N32" s="173"/>
      <c r="O32" s="173"/>
      <c r="P32" s="173"/>
      <c r="Q32" s="162" t="s">
        <v>562</v>
      </c>
      <c r="R32" s="162"/>
      <c r="S32" s="162"/>
      <c r="T32" s="162"/>
      <c r="U32" s="162"/>
      <c r="V32" s="173"/>
      <c r="W32" s="173"/>
      <c r="X32" s="173"/>
      <c r="Y32" s="160"/>
      <c r="Z32" s="160"/>
      <c r="AA32" s="161" t="s">
        <v>565</v>
      </c>
      <c r="AB32" s="161"/>
      <c r="AC32" s="161"/>
      <c r="AD32" s="195"/>
      <c r="AE32" s="195"/>
      <c r="AF32" s="195"/>
      <c r="AG32" s="195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</row>
    <row r="33" spans="1:268" ht="31.4" customHeight="1" x14ac:dyDescent="0.25">
      <c r="A33" s="1"/>
      <c r="B33" s="151" t="s">
        <v>4</v>
      </c>
      <c r="C33" s="162" t="s">
        <v>564</v>
      </c>
      <c r="D33" s="162"/>
      <c r="E33" s="162"/>
      <c r="F33" s="195"/>
      <c r="G33" s="195"/>
      <c r="H33" s="195"/>
      <c r="I33" s="162" t="s">
        <v>557</v>
      </c>
      <c r="J33" s="162"/>
      <c r="K33" s="162"/>
      <c r="L33" s="162"/>
      <c r="M33" s="173"/>
      <c r="N33" s="173"/>
      <c r="O33" s="173"/>
      <c r="P33" s="173"/>
      <c r="Q33" s="162" t="s">
        <v>562</v>
      </c>
      <c r="R33" s="162"/>
      <c r="S33" s="162"/>
      <c r="T33" s="162"/>
      <c r="U33" s="162"/>
      <c r="V33" s="173"/>
      <c r="W33" s="173"/>
      <c r="X33" s="173"/>
      <c r="Y33" s="160"/>
      <c r="Z33" s="160"/>
      <c r="AA33" s="161" t="s">
        <v>565</v>
      </c>
      <c r="AB33" s="161"/>
      <c r="AC33" s="161"/>
      <c r="AD33" s="195"/>
      <c r="AE33" s="195"/>
      <c r="AF33" s="195"/>
      <c r="AG33" s="195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</row>
    <row r="34" spans="1:268" ht="31.4" customHeight="1" x14ac:dyDescent="0.25">
      <c r="A34" s="1"/>
      <c r="B34" s="128" t="s">
        <v>486</v>
      </c>
      <c r="C34" s="162" t="s">
        <v>566</v>
      </c>
      <c r="D34" s="162"/>
      <c r="E34" s="162"/>
      <c r="F34" s="195"/>
      <c r="G34" s="195"/>
      <c r="H34" s="195"/>
      <c r="I34" s="162" t="s">
        <v>684</v>
      </c>
      <c r="J34" s="162"/>
      <c r="K34" s="162"/>
      <c r="L34" s="162"/>
      <c r="M34" s="173"/>
      <c r="N34" s="173"/>
      <c r="O34" s="173"/>
      <c r="P34" s="173"/>
      <c r="Q34" s="162" t="s">
        <v>562</v>
      </c>
      <c r="R34" s="162"/>
      <c r="S34" s="162"/>
      <c r="T34" s="162"/>
      <c r="U34" s="162"/>
      <c r="V34" s="173"/>
      <c r="W34" s="173"/>
      <c r="X34" s="173"/>
      <c r="Y34" s="160"/>
      <c r="Z34" s="160"/>
      <c r="AA34" s="161" t="s">
        <v>565</v>
      </c>
      <c r="AB34" s="161"/>
      <c r="AC34" s="161"/>
      <c r="AD34" s="195"/>
      <c r="AE34" s="195"/>
      <c r="AF34" s="195"/>
      <c r="AG34" s="195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</row>
    <row r="35" spans="1:268" ht="31.4" customHeight="1" x14ac:dyDescent="0.25">
      <c r="A35" s="1"/>
      <c r="B35" s="151" t="s">
        <v>688</v>
      </c>
      <c r="C35" s="173"/>
      <c r="D35" s="173"/>
      <c r="E35" s="173"/>
      <c r="F35" s="173"/>
      <c r="G35" s="173"/>
      <c r="H35" s="173"/>
      <c r="I35" s="162" t="s">
        <v>689</v>
      </c>
      <c r="J35" s="162"/>
      <c r="K35" s="162"/>
      <c r="L35" s="162"/>
      <c r="M35" s="157"/>
      <c r="N35" s="157"/>
      <c r="O35" s="157"/>
      <c r="P35" s="157"/>
      <c r="Q35" s="162" t="s">
        <v>659</v>
      </c>
      <c r="R35" s="162"/>
      <c r="S35" s="162"/>
      <c r="T35" s="162"/>
      <c r="U35" s="162"/>
      <c r="V35" s="159" t="s">
        <v>455</v>
      </c>
      <c r="W35" s="159"/>
      <c r="X35" s="173"/>
      <c r="Y35" s="173"/>
      <c r="Z35" s="173"/>
      <c r="AA35" s="173"/>
      <c r="AB35" s="159" t="s">
        <v>456</v>
      </c>
      <c r="AC35" s="159"/>
      <c r="AD35" s="173"/>
      <c r="AE35" s="173"/>
      <c r="AF35" s="173"/>
      <c r="AG35" s="173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</row>
    <row r="36" spans="1:268" ht="31.4" customHeight="1" x14ac:dyDescent="0.25">
      <c r="A36" s="1"/>
      <c r="B36" s="151" t="s">
        <v>567</v>
      </c>
      <c r="C36" s="162" t="s">
        <v>568</v>
      </c>
      <c r="D36" s="162"/>
      <c r="E36" s="162"/>
      <c r="F36" s="162"/>
      <c r="G36" s="162"/>
      <c r="H36" s="162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216" t="s">
        <v>569</v>
      </c>
      <c r="Y36" s="216"/>
      <c r="Z36" s="216"/>
      <c r="AA36" s="216"/>
      <c r="AB36" s="216"/>
      <c r="AC36" s="216"/>
      <c r="AD36" s="195"/>
      <c r="AE36" s="195"/>
      <c r="AF36" s="195"/>
      <c r="AG36" s="195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</row>
    <row r="37" spans="1:268" ht="47.25" customHeight="1" x14ac:dyDescent="0.25">
      <c r="A37" s="1"/>
      <c r="B37" s="136" t="s">
        <v>719</v>
      </c>
      <c r="C37" s="198"/>
      <c r="D37" s="198"/>
      <c r="E37" s="198"/>
      <c r="F37" s="198"/>
      <c r="G37" s="198"/>
      <c r="H37" s="198"/>
      <c r="I37" s="198"/>
      <c r="J37" s="198"/>
      <c r="K37" s="199"/>
      <c r="L37" s="199"/>
      <c r="M37" s="200" t="s">
        <v>720</v>
      </c>
      <c r="N37" s="200"/>
      <c r="O37" s="200"/>
      <c r="P37" s="200"/>
      <c r="Q37" s="196"/>
      <c r="R37" s="196"/>
      <c r="S37" s="196"/>
      <c r="T37" s="196"/>
      <c r="U37" s="196"/>
      <c r="V37" s="197"/>
      <c r="W37" s="197"/>
      <c r="X37" s="170" t="s">
        <v>695</v>
      </c>
      <c r="Y37" s="170"/>
      <c r="Z37" s="170"/>
      <c r="AA37" s="170"/>
      <c r="AB37" s="170"/>
      <c r="AC37" s="170"/>
      <c r="AD37" s="168"/>
      <c r="AE37" s="168"/>
      <c r="AF37" s="168"/>
      <c r="AG37" s="16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</row>
    <row r="38" spans="1:268" ht="3.75" hidden="1" customHeight="1" x14ac:dyDescent="0.25">
      <c r="B38" s="137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9"/>
    </row>
    <row r="39" spans="1:268" ht="18.75" customHeight="1" x14ac:dyDescent="0.25">
      <c r="B39" s="164" t="s">
        <v>574</v>
      </c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</row>
    <row r="40" spans="1:268" ht="17.25" customHeight="1" x14ac:dyDescent="0.25">
      <c r="B40" s="165" t="s">
        <v>575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</row>
    <row r="41" spans="1:268" ht="31.4" customHeight="1" x14ac:dyDescent="0.25">
      <c r="B41" s="159" t="s">
        <v>570</v>
      </c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66" t="s">
        <v>571</v>
      </c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</row>
    <row r="42" spans="1:268" ht="17.25" customHeight="1" x14ac:dyDescent="0.25">
      <c r="B42" s="165" t="s">
        <v>579</v>
      </c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</row>
    <row r="43" spans="1:268" ht="31.4" customHeight="1" x14ac:dyDescent="0.25">
      <c r="B43" s="159" t="s">
        <v>572</v>
      </c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66" t="s">
        <v>571</v>
      </c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</row>
    <row r="44" spans="1:268" ht="18.75" customHeight="1" x14ac:dyDescent="0.25">
      <c r="B44" s="163" t="s">
        <v>585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</row>
    <row r="45" spans="1:268" ht="17.25" customHeight="1" x14ac:dyDescent="0.25">
      <c r="B45" s="165" t="s">
        <v>584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</row>
    <row r="46" spans="1:268" ht="31.4" customHeight="1" x14ac:dyDescent="0.25">
      <c r="B46" s="159" t="s">
        <v>580</v>
      </c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 t="s">
        <v>581</v>
      </c>
      <c r="S46" s="159"/>
      <c r="T46" s="159"/>
      <c r="U46" s="159"/>
      <c r="V46" s="213" t="s">
        <v>707</v>
      </c>
      <c r="W46" s="214"/>
      <c r="X46" s="214"/>
      <c r="Y46" s="215"/>
      <c r="Z46" s="213" t="s">
        <v>701</v>
      </c>
      <c r="AA46" s="214"/>
      <c r="AB46" s="214"/>
      <c r="AC46" s="215"/>
      <c r="AD46" s="166" t="s">
        <v>5</v>
      </c>
      <c r="AE46" s="166"/>
      <c r="AF46" s="166"/>
      <c r="AG46" s="166"/>
    </row>
    <row r="47" spans="1:268" ht="17.25" customHeight="1" x14ac:dyDescent="0.25">
      <c r="B47" s="165" t="s">
        <v>586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</row>
    <row r="48" spans="1:268" ht="31.4" customHeight="1" x14ac:dyDescent="0.25">
      <c r="B48" s="159" t="s">
        <v>582</v>
      </c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 t="s">
        <v>583</v>
      </c>
      <c r="S48" s="159"/>
      <c r="T48" s="159"/>
      <c r="U48" s="159"/>
      <c r="V48" s="213" t="s">
        <v>707</v>
      </c>
      <c r="W48" s="214"/>
      <c r="X48" s="214"/>
      <c r="Y48" s="215"/>
      <c r="Z48" s="213" t="s">
        <v>701</v>
      </c>
      <c r="AA48" s="214"/>
      <c r="AB48" s="214"/>
      <c r="AC48" s="215"/>
      <c r="AD48" s="166" t="s">
        <v>5</v>
      </c>
      <c r="AE48" s="166"/>
      <c r="AF48" s="166"/>
      <c r="AG48" s="166"/>
    </row>
    <row r="49" spans="2:33" ht="13" x14ac:dyDescent="0.25">
      <c r="B49" s="210" t="s">
        <v>703</v>
      </c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2"/>
    </row>
    <row r="50" spans="2:33" x14ac:dyDescent="0.25">
      <c r="B50" s="201" t="s">
        <v>603</v>
      </c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3"/>
    </row>
    <row r="51" spans="2:33" x14ac:dyDescent="0.25">
      <c r="B51" s="204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6"/>
    </row>
    <row r="52" spans="2:33" x14ac:dyDescent="0.25">
      <c r="B52" s="207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9"/>
    </row>
    <row r="53" spans="2:33" ht="13" x14ac:dyDescent="0.25">
      <c r="B53" s="163" t="s">
        <v>702</v>
      </c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</row>
    <row r="54" spans="2:33" ht="31.4" customHeight="1" x14ac:dyDescent="0.25">
      <c r="B54" s="162" t="s">
        <v>602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</row>
  </sheetData>
  <mergeCells count="167">
    <mergeCell ref="AD46:AG46"/>
    <mergeCell ref="R43:AG43"/>
    <mergeCell ref="B43:Q43"/>
    <mergeCell ref="F34:H34"/>
    <mergeCell ref="AD35:AG35"/>
    <mergeCell ref="V48:Y48"/>
    <mergeCell ref="Z48:AC48"/>
    <mergeCell ref="B48:Q48"/>
    <mergeCell ref="B47:AG47"/>
    <mergeCell ref="R48:U48"/>
    <mergeCell ref="AD48:AG48"/>
    <mergeCell ref="R46:U46"/>
    <mergeCell ref="C36:H36"/>
    <mergeCell ref="C34:E34"/>
    <mergeCell ref="M34:N34"/>
    <mergeCell ref="B50:AG52"/>
    <mergeCell ref="B49:AG49"/>
    <mergeCell ref="V46:Y46"/>
    <mergeCell ref="Z46:AC46"/>
    <mergeCell ref="B46:Q46"/>
    <mergeCell ref="B30:AG30"/>
    <mergeCell ref="O31:P31"/>
    <mergeCell ref="O32:P32"/>
    <mergeCell ref="X36:AC36"/>
    <mergeCell ref="I36:W36"/>
    <mergeCell ref="AD36:AG36"/>
    <mergeCell ref="O34:P34"/>
    <mergeCell ref="C35:H35"/>
    <mergeCell ref="I35:L35"/>
    <mergeCell ref="C31:E31"/>
    <mergeCell ref="C33:E33"/>
    <mergeCell ref="F31:H31"/>
    <mergeCell ref="F32:H32"/>
    <mergeCell ref="F33:H33"/>
    <mergeCell ref="I31:L31"/>
    <mergeCell ref="I32:L32"/>
    <mergeCell ref="I33:L33"/>
    <mergeCell ref="B44:AG44"/>
    <mergeCell ref="B45:AG45"/>
    <mergeCell ref="AD33:AG33"/>
    <mergeCell ref="V32:X32"/>
    <mergeCell ref="AD32:AG32"/>
    <mergeCell ref="AD34:AG34"/>
    <mergeCell ref="B42:AG42"/>
    <mergeCell ref="Q23:S23"/>
    <mergeCell ref="T23:W23"/>
    <mergeCell ref="C24:AG24"/>
    <mergeCell ref="B25:AG25"/>
    <mergeCell ref="C32:E32"/>
    <mergeCell ref="M35:P35"/>
    <mergeCell ref="Q35:U35"/>
    <mergeCell ref="V35:W35"/>
    <mergeCell ref="AD31:AG31"/>
    <mergeCell ref="Q37:U37"/>
    <mergeCell ref="V37:W37"/>
    <mergeCell ref="X37:AC37"/>
    <mergeCell ref="C37:J37"/>
    <mergeCell ref="K37:L37"/>
    <mergeCell ref="M37:P37"/>
    <mergeCell ref="X35:AA35"/>
    <mergeCell ref="AB35:AC35"/>
    <mergeCell ref="V33:X33"/>
    <mergeCell ref="AA31:AC31"/>
    <mergeCell ref="I29:L29"/>
    <mergeCell ref="T29:W29"/>
    <mergeCell ref="X29:AC29"/>
    <mergeCell ref="AD29:AG29"/>
    <mergeCell ref="C29:H29"/>
    <mergeCell ref="P29:S29"/>
    <mergeCell ref="M29:O29"/>
    <mergeCell ref="Q27:U27"/>
    <mergeCell ref="AD27:AG27"/>
    <mergeCell ref="X27:AC27"/>
    <mergeCell ref="V27:W27"/>
    <mergeCell ref="C27:P27"/>
    <mergeCell ref="M3:O3"/>
    <mergeCell ref="P3:S3"/>
    <mergeCell ref="O4:S4"/>
    <mergeCell ref="B11:AG11"/>
    <mergeCell ref="Y7:AB7"/>
    <mergeCell ref="AC7:AG7"/>
    <mergeCell ref="AE22:AG22"/>
    <mergeCell ref="C22:K22"/>
    <mergeCell ref="B6:AG6"/>
    <mergeCell ref="T4:X4"/>
    <mergeCell ref="C3:E3"/>
    <mergeCell ref="E4:L4"/>
    <mergeCell ref="B2:B4"/>
    <mergeCell ref="C4:D4"/>
    <mergeCell ref="V3:AB3"/>
    <mergeCell ref="Y4:AB4"/>
    <mergeCell ref="C2:AB2"/>
    <mergeCell ref="F3:L3"/>
    <mergeCell ref="AC2:AG4"/>
    <mergeCell ref="T7:X7"/>
    <mergeCell ref="N7:Q7"/>
    <mergeCell ref="K7:M7"/>
    <mergeCell ref="AB22:AD22"/>
    <mergeCell ref="X22:AA22"/>
    <mergeCell ref="C7:J7"/>
    <mergeCell ref="C8:Q8"/>
    <mergeCell ref="R8:X8"/>
    <mergeCell ref="Y8:AG8"/>
    <mergeCell ref="M4:N4"/>
    <mergeCell ref="Y31:Z31"/>
    <mergeCell ref="Y32:Z32"/>
    <mergeCell ref="Q34:U34"/>
    <mergeCell ref="V34:X34"/>
    <mergeCell ref="Y33:Z33"/>
    <mergeCell ref="I34:L34"/>
    <mergeCell ref="Q32:U32"/>
    <mergeCell ref="V31:X31"/>
    <mergeCell ref="Q31:U31"/>
    <mergeCell ref="Q33:U33"/>
    <mergeCell ref="M31:N31"/>
    <mergeCell ref="M32:N32"/>
    <mergeCell ref="M33:N33"/>
    <mergeCell ref="Y34:Z34"/>
    <mergeCell ref="O33:P33"/>
    <mergeCell ref="C13:Q13"/>
    <mergeCell ref="R13:X13"/>
    <mergeCell ref="L23:P23"/>
    <mergeCell ref="AB23:AD23"/>
    <mergeCell ref="AA32:AC32"/>
    <mergeCell ref="AA33:AC33"/>
    <mergeCell ref="AA34:AC34"/>
    <mergeCell ref="B54:O54"/>
    <mergeCell ref="P54:AG54"/>
    <mergeCell ref="B53:AG53"/>
    <mergeCell ref="B14:AG14"/>
    <mergeCell ref="Y15:AG15"/>
    <mergeCell ref="B39:AG39"/>
    <mergeCell ref="B40:AG40"/>
    <mergeCell ref="B41:Q41"/>
    <mergeCell ref="R41:AG41"/>
    <mergeCell ref="B18:AG18"/>
    <mergeCell ref="AD37:AG37"/>
    <mergeCell ref="L21:P21"/>
    <mergeCell ref="Q21:S21"/>
    <mergeCell ref="C20:P20"/>
    <mergeCell ref="Q20:W20"/>
    <mergeCell ref="C15:M15"/>
    <mergeCell ref="O15:T15"/>
    <mergeCell ref="C16:Q16"/>
    <mergeCell ref="R16:X16"/>
    <mergeCell ref="Y16:AG16"/>
    <mergeCell ref="AE23:AG23"/>
    <mergeCell ref="B10:AG10"/>
    <mergeCell ref="U12:X12"/>
    <mergeCell ref="C12:M12"/>
    <mergeCell ref="B19:AG19"/>
    <mergeCell ref="B28:AG28"/>
    <mergeCell ref="T21:W21"/>
    <mergeCell ref="X21:AA21"/>
    <mergeCell ref="U15:X15"/>
    <mergeCell ref="AB21:AG21"/>
    <mergeCell ref="X23:AA23"/>
    <mergeCell ref="X20:AG20"/>
    <mergeCell ref="C21:K21"/>
    <mergeCell ref="O12:T12"/>
    <mergeCell ref="Y12:AG12"/>
    <mergeCell ref="Y13:AG13"/>
    <mergeCell ref="C23:K23"/>
    <mergeCell ref="L22:P22"/>
    <mergeCell ref="Q22:S22"/>
    <mergeCell ref="T22:W22"/>
    <mergeCell ref="C26:AG2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fitToHeight="0" orientation="portrait" r:id="rId1"/>
  <headerFooter>
    <oddFooter>&amp;R&amp;"Arial,Normal"&amp;10&amp;P de &amp;N</oddFooter>
  </headerFooter>
  <colBreaks count="1" manualBreakCount="1">
    <brk id="261" max="40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Tablas!$AD$3</xm:f>
          </x14:formula1>
          <xm:sqref>N7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84"/>
  <sheetViews>
    <sheetView topLeftCell="U1" zoomScale="70" zoomScaleNormal="70" workbookViewId="0">
      <selection activeCell="X20" sqref="X20:X27"/>
    </sheetView>
  </sheetViews>
  <sheetFormatPr baseColWidth="10" defaultColWidth="11.453125" defaultRowHeight="14.5" x14ac:dyDescent="0.35"/>
  <cols>
    <col min="1" max="1" width="92.81640625" style="48" customWidth="1"/>
    <col min="2" max="2" width="3.7265625" style="48" customWidth="1"/>
    <col min="3" max="3" width="4" style="48" customWidth="1"/>
    <col min="4" max="4" width="74.26953125" style="48" customWidth="1"/>
    <col min="5" max="5" width="3.81640625" style="48" customWidth="1"/>
    <col min="6" max="6" width="3.7265625" style="48" customWidth="1"/>
    <col min="7" max="7" width="11" style="48" customWidth="1"/>
    <col min="8" max="8" width="105" style="48" customWidth="1"/>
    <col min="9" max="9" width="4.7265625" style="48" customWidth="1"/>
    <col min="10" max="10" width="4.26953125" style="48" hidden="1" customWidth="1"/>
    <col min="11" max="11" width="69.54296875" style="48" hidden="1" customWidth="1"/>
    <col min="12" max="12" width="1.7265625" style="48" hidden="1" customWidth="1"/>
    <col min="13" max="13" width="7.7265625" style="48" hidden="1" customWidth="1"/>
    <col min="14" max="14" width="90.1796875" style="48" hidden="1" customWidth="1"/>
    <col min="15" max="17" width="5.7265625" style="48" hidden="1" customWidth="1"/>
    <col min="18" max="18" width="47.453125" style="72" bestFit="1" customWidth="1"/>
    <col min="19" max="19" width="22.81640625" style="72" bestFit="1" customWidth="1"/>
    <col min="20" max="20" width="125.26953125" style="149" bestFit="1" customWidth="1"/>
    <col min="21" max="21" width="3.7265625" style="48" customWidth="1"/>
    <col min="22" max="22" width="39.26953125" style="112" customWidth="1"/>
    <col min="23" max="23" width="3.7265625" style="48" customWidth="1"/>
    <col min="24" max="24" width="41.453125" style="48" bestFit="1" customWidth="1"/>
    <col min="25" max="25" width="3.7265625" style="48" customWidth="1"/>
    <col min="26" max="26" width="40" style="48" bestFit="1" customWidth="1"/>
    <col min="27" max="27" width="3.7265625" style="48" customWidth="1"/>
    <col min="28" max="28" width="24.453125" style="48" bestFit="1" customWidth="1"/>
    <col min="29" max="29" width="3.7265625" style="48" customWidth="1"/>
    <col min="30" max="30" width="21.1796875" style="48" bestFit="1" customWidth="1"/>
    <col min="31" max="31" width="3.7265625" style="48" customWidth="1"/>
    <col min="32" max="32" width="15.7265625" style="48" bestFit="1" customWidth="1"/>
    <col min="33" max="33" width="3.7265625" style="48" customWidth="1"/>
    <col min="34" max="34" width="30.1796875" style="48" customWidth="1"/>
    <col min="35" max="35" width="3.7265625" style="48" customWidth="1"/>
    <col min="36" max="36" width="23.26953125" style="48" customWidth="1"/>
    <col min="37" max="16384" width="11.453125" style="48"/>
  </cols>
  <sheetData>
    <row r="1" spans="1:36" x14ac:dyDescent="0.35">
      <c r="A1" s="42"/>
      <c r="B1" s="43"/>
      <c r="C1" s="44"/>
      <c r="D1" s="45"/>
      <c r="E1" s="44"/>
      <c r="F1" s="43"/>
      <c r="G1" s="45"/>
      <c r="H1" s="46"/>
      <c r="I1" s="46"/>
      <c r="J1" s="46"/>
      <c r="K1" s="43"/>
      <c r="L1" s="43"/>
      <c r="M1" s="45"/>
      <c r="N1" s="46"/>
      <c r="O1" s="45"/>
      <c r="P1" s="45"/>
      <c r="Q1" s="45"/>
      <c r="R1" s="143"/>
      <c r="S1" s="143"/>
      <c r="T1" s="146"/>
      <c r="U1" s="43"/>
      <c r="V1" s="47"/>
    </row>
    <row r="2" spans="1:36" ht="15" customHeight="1" x14ac:dyDescent="0.35">
      <c r="A2" s="49" t="s">
        <v>396</v>
      </c>
      <c r="C2" s="218" t="s">
        <v>457</v>
      </c>
      <c r="D2" s="219"/>
      <c r="G2" s="218" t="s">
        <v>458</v>
      </c>
      <c r="H2" s="220"/>
      <c r="K2" s="50"/>
      <c r="L2" s="50"/>
      <c r="M2" s="50"/>
      <c r="N2" s="51" t="s">
        <v>366</v>
      </c>
      <c r="O2" s="50"/>
      <c r="P2" s="50"/>
      <c r="Q2" s="52"/>
      <c r="R2" s="144"/>
      <c r="S2" s="144"/>
      <c r="T2" s="147"/>
      <c r="V2" s="53" t="s">
        <v>459</v>
      </c>
      <c r="X2" s="54" t="s">
        <v>105</v>
      </c>
      <c r="Z2" s="54" t="s">
        <v>59</v>
      </c>
      <c r="AB2" s="54" t="s">
        <v>390</v>
      </c>
      <c r="AD2" s="55" t="s">
        <v>391</v>
      </c>
      <c r="AF2" s="56" t="s">
        <v>5</v>
      </c>
      <c r="AH2" s="57" t="s">
        <v>393</v>
      </c>
    </row>
    <row r="3" spans="1:36" ht="15.75" customHeight="1" thickBot="1" x14ac:dyDescent="0.4">
      <c r="A3" s="58" t="s">
        <v>12</v>
      </c>
      <c r="C3" s="59"/>
      <c r="D3" s="60" t="s">
        <v>576</v>
      </c>
      <c r="G3" s="59"/>
      <c r="H3" s="59" t="s">
        <v>699</v>
      </c>
      <c r="J3" s="61">
        <v>1</v>
      </c>
      <c r="K3" s="62" t="s">
        <v>18</v>
      </c>
      <c r="L3" s="63"/>
      <c r="M3" s="61">
        <v>1</v>
      </c>
      <c r="N3" s="62" t="s">
        <v>18</v>
      </c>
      <c r="O3" s="64" t="s">
        <v>460</v>
      </c>
      <c r="P3" s="65" t="s">
        <v>461</v>
      </c>
      <c r="Q3" s="65" t="s">
        <v>462</v>
      </c>
      <c r="R3" s="142"/>
      <c r="S3" s="142"/>
      <c r="T3" s="148"/>
      <c r="V3" s="66" t="s">
        <v>367</v>
      </c>
      <c r="X3" s="67" t="s">
        <v>111</v>
      </c>
      <c r="Z3" s="67" t="s">
        <v>387</v>
      </c>
      <c r="AB3" s="68" t="s">
        <v>385</v>
      </c>
      <c r="AD3" s="69" t="s">
        <v>384</v>
      </c>
      <c r="AF3" s="70" t="s">
        <v>485</v>
      </c>
      <c r="AH3" s="71" t="s">
        <v>1</v>
      </c>
      <c r="AI3" s="72"/>
    </row>
    <row r="4" spans="1:36" x14ac:dyDescent="0.35">
      <c r="A4" s="73" t="s">
        <v>15</v>
      </c>
      <c r="B4" s="74"/>
      <c r="C4" s="75">
        <v>1</v>
      </c>
      <c r="D4" s="12" t="s">
        <v>612</v>
      </c>
      <c r="F4" s="74"/>
      <c r="G4" s="77">
        <v>1</v>
      </c>
      <c r="H4" s="78" t="s">
        <v>16</v>
      </c>
      <c r="I4" s="79"/>
      <c r="J4" s="80">
        <v>2</v>
      </c>
      <c r="K4" s="58" t="s">
        <v>92</v>
      </c>
      <c r="L4" s="81"/>
      <c r="M4" s="82">
        <v>1.1000000000000001</v>
      </c>
      <c r="N4" s="83" t="s">
        <v>22</v>
      </c>
      <c r="O4" s="84"/>
      <c r="P4" s="85"/>
      <c r="Q4" s="85"/>
      <c r="R4" s="142" t="s">
        <v>704</v>
      </c>
      <c r="S4" s="145" t="s">
        <v>705</v>
      </c>
      <c r="T4" s="148" t="str">
        <f>_xlfn.CONCAT($R$4,H4,CHAR(39),$S$4)</f>
        <v>INSERT INTO Tb_Factor_Causa_Incidente VALUES('1. Capacidad Física/Fisiológica Inadecuada','Factor Personal','ACT')</v>
      </c>
      <c r="U4" s="74"/>
      <c r="V4" s="66" t="s">
        <v>368</v>
      </c>
      <c r="X4" s="67" t="s">
        <v>116</v>
      </c>
      <c r="Z4" s="67" t="s">
        <v>388</v>
      </c>
      <c r="AB4" s="68" t="s">
        <v>386</v>
      </c>
      <c r="AD4" s="69"/>
      <c r="AF4" s="86" t="s">
        <v>6</v>
      </c>
      <c r="AH4" s="71" t="s">
        <v>2</v>
      </c>
      <c r="AI4" s="72"/>
    </row>
    <row r="5" spans="1:36" x14ac:dyDescent="0.35">
      <c r="A5" s="87" t="s">
        <v>19</v>
      </c>
      <c r="B5" s="74"/>
      <c r="C5" s="75">
        <v>2</v>
      </c>
      <c r="D5" s="12" t="s">
        <v>613</v>
      </c>
      <c r="F5" s="74"/>
      <c r="G5" s="88">
        <v>1.1000000000000001</v>
      </c>
      <c r="H5" s="67" t="s">
        <v>20</v>
      </c>
      <c r="I5" s="89"/>
      <c r="J5" s="80">
        <v>3</v>
      </c>
      <c r="K5" s="58" t="s">
        <v>133</v>
      </c>
      <c r="L5" s="81"/>
      <c r="M5" s="82">
        <v>1.2</v>
      </c>
      <c r="N5" s="83" t="s">
        <v>26</v>
      </c>
      <c r="O5" s="90"/>
      <c r="P5" s="70"/>
      <c r="Q5" s="70"/>
      <c r="R5" s="142"/>
      <c r="S5" s="142"/>
      <c r="T5" s="148" t="str">
        <f t="shared" ref="T5:T68" si="0">_xlfn.CONCAT($R$4,H5,CHAR(39),$S$4)</f>
        <v>INSERT INTO Tb_Factor_Causa_Incidente VALUES('1.1 Altura, peso, talla, fuerza, alcance, etc., inapropiados','Factor Personal','ACT')</v>
      </c>
      <c r="U5" s="74"/>
      <c r="V5" s="66" t="s">
        <v>369</v>
      </c>
      <c r="X5" s="67" t="s">
        <v>120</v>
      </c>
      <c r="Z5" s="67" t="s">
        <v>389</v>
      </c>
      <c r="AF5" s="91" t="s">
        <v>484</v>
      </c>
      <c r="AH5" s="71" t="s">
        <v>559</v>
      </c>
      <c r="AI5" s="72"/>
      <c r="AJ5" s="72"/>
    </row>
    <row r="6" spans="1:36" x14ac:dyDescent="0.35">
      <c r="A6" s="87" t="s">
        <v>23</v>
      </c>
      <c r="B6" s="74"/>
      <c r="C6" s="75">
        <v>3</v>
      </c>
      <c r="D6" s="12" t="s">
        <v>614</v>
      </c>
      <c r="F6" s="74"/>
      <c r="G6" s="88">
        <v>1.2</v>
      </c>
      <c r="H6" s="67" t="s">
        <v>24</v>
      </c>
      <c r="I6" s="89"/>
      <c r="J6" s="80">
        <v>4</v>
      </c>
      <c r="K6" s="58" t="s">
        <v>163</v>
      </c>
      <c r="L6" s="81"/>
      <c r="M6" s="82">
        <v>1.3</v>
      </c>
      <c r="N6" s="83" t="s">
        <v>30</v>
      </c>
      <c r="O6" s="90"/>
      <c r="P6" s="70"/>
      <c r="Q6" s="70"/>
      <c r="R6" s="142"/>
      <c r="S6" s="142"/>
      <c r="T6" s="148" t="str">
        <f t="shared" si="0"/>
        <v>INSERT INTO Tb_Factor_Causa_Incidente VALUES('1.2 Movimiento corporal limitado','Factor Personal','ACT')</v>
      </c>
      <c r="U6" s="74"/>
      <c r="V6" s="66" t="s">
        <v>370</v>
      </c>
      <c r="AH6" s="92" t="s">
        <v>558</v>
      </c>
      <c r="AI6" s="72"/>
      <c r="AJ6" s="72"/>
    </row>
    <row r="7" spans="1:36" x14ac:dyDescent="0.35">
      <c r="A7" s="87" t="s">
        <v>27</v>
      </c>
      <c r="B7" s="74"/>
      <c r="C7" s="75">
        <v>4</v>
      </c>
      <c r="D7" s="12" t="s">
        <v>615</v>
      </c>
      <c r="F7" s="74"/>
      <c r="G7" s="88">
        <v>1.3</v>
      </c>
      <c r="H7" s="67" t="s">
        <v>28</v>
      </c>
      <c r="I7" s="89"/>
      <c r="J7" s="80">
        <v>5</v>
      </c>
      <c r="K7" s="58" t="s">
        <v>186</v>
      </c>
      <c r="L7" s="81"/>
      <c r="M7" s="82">
        <v>1.4</v>
      </c>
      <c r="N7" s="83" t="s">
        <v>34</v>
      </c>
      <c r="O7" s="90"/>
      <c r="P7" s="70"/>
      <c r="Q7" s="70"/>
      <c r="R7" s="142"/>
      <c r="S7" s="142"/>
      <c r="T7" s="148" t="str">
        <f t="shared" si="0"/>
        <v>INSERT INTO Tb_Factor_Causa_Incidente VALUES('1.3 Capacidad limitada para sostener posiciones corporales','Factor Personal','ACT')</v>
      </c>
      <c r="U7" s="74"/>
      <c r="V7" s="66" t="s">
        <v>371</v>
      </c>
      <c r="Y7" s="93"/>
      <c r="AA7" s="93"/>
      <c r="AH7" s="71" t="s">
        <v>3</v>
      </c>
      <c r="AI7" s="72"/>
      <c r="AJ7" s="72"/>
    </row>
    <row r="8" spans="1:36" x14ac:dyDescent="0.35">
      <c r="A8" s="87" t="s">
        <v>31</v>
      </c>
      <c r="B8" s="74"/>
      <c r="C8" s="75">
        <v>5</v>
      </c>
      <c r="D8" s="12" t="s">
        <v>616</v>
      </c>
      <c r="F8" s="74"/>
      <c r="G8" s="88">
        <v>1.4</v>
      </c>
      <c r="H8" s="67" t="s">
        <v>32</v>
      </c>
      <c r="I8" s="89"/>
      <c r="J8" s="80">
        <v>6</v>
      </c>
      <c r="K8" s="58" t="s">
        <v>206</v>
      </c>
      <c r="L8" s="81"/>
      <c r="M8" s="82">
        <v>1.5</v>
      </c>
      <c r="N8" s="83" t="s">
        <v>38</v>
      </c>
      <c r="O8" s="90"/>
      <c r="P8" s="70"/>
      <c r="Q8" s="70"/>
      <c r="R8" s="142"/>
      <c r="S8" s="142"/>
      <c r="T8" s="148" t="str">
        <f t="shared" si="0"/>
        <v>INSERT INTO Tb_Factor_Causa_Incidente VALUES('1.4 Sensibilidad a sustancias o alergias','Factor Personal','ACT')</v>
      </c>
      <c r="U8" s="74"/>
      <c r="V8" s="66" t="s">
        <v>372</v>
      </c>
      <c r="AH8" s="71" t="s">
        <v>4</v>
      </c>
      <c r="AI8" s="72"/>
      <c r="AJ8" s="72"/>
    </row>
    <row r="9" spans="1:36" ht="17.25" customHeight="1" x14ac:dyDescent="0.35">
      <c r="A9" s="87" t="s">
        <v>35</v>
      </c>
      <c r="B9" s="74"/>
      <c r="C9" s="75">
        <v>6</v>
      </c>
      <c r="D9" s="12" t="s">
        <v>617</v>
      </c>
      <c r="F9" s="74"/>
      <c r="G9" s="88">
        <v>1.5</v>
      </c>
      <c r="H9" s="67" t="s">
        <v>36</v>
      </c>
      <c r="I9" s="89"/>
      <c r="J9" s="80">
        <v>7</v>
      </c>
      <c r="K9" s="58" t="s">
        <v>230</v>
      </c>
      <c r="L9" s="81"/>
      <c r="M9" s="82">
        <v>1.6</v>
      </c>
      <c r="N9" s="83" t="s">
        <v>42</v>
      </c>
      <c r="O9" s="90"/>
      <c r="P9" s="70"/>
      <c r="Q9" s="70"/>
      <c r="R9" s="142"/>
      <c r="S9" s="142"/>
      <c r="T9" s="148" t="str">
        <f t="shared" si="0"/>
        <v>INSERT INTO Tb_Factor_Causa_Incidente VALUES('1.5 Sensibilidad a extremos sensoriales (temperatura, ruido, etc.)','Factor Personal','ACT')</v>
      </c>
      <c r="U9" s="74"/>
      <c r="V9" s="66" t="s">
        <v>373</v>
      </c>
    </row>
    <row r="10" spans="1:36" x14ac:dyDescent="0.35">
      <c r="A10" s="87" t="s">
        <v>39</v>
      </c>
      <c r="B10" s="74"/>
      <c r="C10" s="75">
        <v>7</v>
      </c>
      <c r="D10" s="12" t="s">
        <v>618</v>
      </c>
      <c r="F10" s="74"/>
      <c r="G10" s="88">
        <v>1.6</v>
      </c>
      <c r="H10" s="67" t="s">
        <v>40</v>
      </c>
      <c r="I10" s="89"/>
      <c r="J10" s="80">
        <v>8</v>
      </c>
      <c r="K10" s="58" t="s">
        <v>279</v>
      </c>
      <c r="L10" s="81"/>
      <c r="M10" s="82">
        <v>1.7</v>
      </c>
      <c r="N10" s="83" t="s">
        <v>46</v>
      </c>
      <c r="O10" s="90"/>
      <c r="P10" s="70"/>
      <c r="Q10" s="70"/>
      <c r="R10" s="142"/>
      <c r="S10" s="142"/>
      <c r="T10" s="148" t="str">
        <f t="shared" si="0"/>
        <v>INSERT INTO Tb_Factor_Causa_Incidente VALUES('1.6 Deficiencia visual','Factor Personal','ACT')</v>
      </c>
      <c r="U10" s="74"/>
      <c r="V10" s="66" t="s">
        <v>374</v>
      </c>
    </row>
    <row r="11" spans="1:36" x14ac:dyDescent="0.35">
      <c r="A11" s="87" t="s">
        <v>43</v>
      </c>
      <c r="B11" s="74"/>
      <c r="C11" s="75">
        <v>8</v>
      </c>
      <c r="D11" s="12" t="s">
        <v>619</v>
      </c>
      <c r="F11" s="74"/>
      <c r="G11" s="88">
        <v>1.7</v>
      </c>
      <c r="H11" s="67" t="s">
        <v>44</v>
      </c>
      <c r="I11" s="89"/>
      <c r="J11" s="80">
        <v>9</v>
      </c>
      <c r="K11" s="58" t="s">
        <v>298</v>
      </c>
      <c r="L11" s="81"/>
      <c r="M11" s="82">
        <v>1.8</v>
      </c>
      <c r="N11" s="83" t="s">
        <v>51</v>
      </c>
      <c r="O11" s="90"/>
      <c r="P11" s="70"/>
      <c r="Q11" s="70"/>
      <c r="R11" s="142"/>
      <c r="S11" s="142"/>
      <c r="T11" s="148" t="str">
        <f t="shared" si="0"/>
        <v>INSERT INTO Tb_Factor_Causa_Incidente VALUES('1.7 Deficiencia auditiva','Factor Personal','ACT')</v>
      </c>
      <c r="U11" s="74"/>
      <c r="V11" s="66" t="s">
        <v>375</v>
      </c>
      <c r="X11" s="54" t="s">
        <v>402</v>
      </c>
      <c r="Y11" s="93"/>
      <c r="Z11" s="54" t="s">
        <v>451</v>
      </c>
      <c r="AA11" s="93"/>
      <c r="AB11" s="56" t="s">
        <v>469</v>
      </c>
      <c r="AC11" s="94"/>
      <c r="AD11" s="56" t="s">
        <v>474</v>
      </c>
      <c r="AF11" s="56" t="s">
        <v>553</v>
      </c>
      <c r="AH11" s="56" t="s">
        <v>490</v>
      </c>
    </row>
    <row r="12" spans="1:36" ht="15.5" x14ac:dyDescent="0.35">
      <c r="A12" s="87" t="s">
        <v>48</v>
      </c>
      <c r="B12" s="74"/>
      <c r="C12" s="75">
        <v>9</v>
      </c>
      <c r="D12" s="12" t="s">
        <v>620</v>
      </c>
      <c r="F12" s="74"/>
      <c r="G12" s="88">
        <v>1.8</v>
      </c>
      <c r="H12" s="67" t="s">
        <v>49</v>
      </c>
      <c r="I12" s="89"/>
      <c r="J12" s="80">
        <v>10</v>
      </c>
      <c r="K12" s="58" t="s">
        <v>313</v>
      </c>
      <c r="L12" s="81"/>
      <c r="M12" s="82">
        <v>1.9</v>
      </c>
      <c r="N12" s="83" t="s">
        <v>56</v>
      </c>
      <c r="O12" s="90"/>
      <c r="P12" s="70"/>
      <c r="Q12" s="70"/>
      <c r="R12" s="142"/>
      <c r="S12" s="142"/>
      <c r="T12" s="148" t="str">
        <f t="shared" si="0"/>
        <v>INSERT INTO Tb_Factor_Causa_Incidente VALUES('1.8 Otras deficiencias (tacto, gusto, olfato, equilibrio)','Factor Personal','ACT')</v>
      </c>
      <c r="U12" s="74"/>
      <c r="V12" s="95" t="s">
        <v>376</v>
      </c>
      <c r="X12" s="71" t="s">
        <v>397</v>
      </c>
      <c r="Y12" s="93"/>
      <c r="Z12" s="96" t="s">
        <v>453</v>
      </c>
      <c r="AA12" s="93"/>
      <c r="AB12" s="97" t="s">
        <v>464</v>
      </c>
      <c r="AC12" s="94"/>
      <c r="AD12" s="71" t="s">
        <v>479</v>
      </c>
      <c r="AF12" s="98" t="s">
        <v>554</v>
      </c>
      <c r="AH12" s="99" t="s">
        <v>559</v>
      </c>
    </row>
    <row r="13" spans="1:36" ht="15.5" x14ac:dyDescent="0.35">
      <c r="A13" s="87" t="s">
        <v>53</v>
      </c>
      <c r="B13" s="74"/>
      <c r="C13" s="75">
        <v>10</v>
      </c>
      <c r="D13" s="12" t="s">
        <v>621</v>
      </c>
      <c r="F13" s="74"/>
      <c r="G13" s="88">
        <v>1.9</v>
      </c>
      <c r="H13" s="67" t="s">
        <v>54</v>
      </c>
      <c r="I13" s="89"/>
      <c r="J13" s="80">
        <v>11</v>
      </c>
      <c r="K13" s="58" t="s">
        <v>317</v>
      </c>
      <c r="L13" s="81"/>
      <c r="M13" s="100">
        <v>1.1000000000000001</v>
      </c>
      <c r="N13" s="83" t="s">
        <v>62</v>
      </c>
      <c r="O13" s="90"/>
      <c r="P13" s="70"/>
      <c r="Q13" s="70"/>
      <c r="R13" s="142"/>
      <c r="S13" s="142"/>
      <c r="T13" s="148" t="str">
        <f t="shared" si="0"/>
        <v>INSERT INTO Tb_Factor_Causa_Incidente VALUES('1.9 Incapacidad respiratoria','Factor Personal','ACT')</v>
      </c>
      <c r="U13" s="74"/>
      <c r="V13" s="66" t="s">
        <v>377</v>
      </c>
      <c r="X13" s="71" t="s">
        <v>398</v>
      </c>
      <c r="Y13" s="93"/>
      <c r="Z13" s="96" t="s">
        <v>454</v>
      </c>
      <c r="AA13" s="93"/>
      <c r="AB13" s="97" t="s">
        <v>465</v>
      </c>
      <c r="AC13" s="94"/>
      <c r="AD13" s="101" t="s">
        <v>475</v>
      </c>
      <c r="AF13" s="98" t="s">
        <v>555</v>
      </c>
      <c r="AH13" s="101" t="s">
        <v>560</v>
      </c>
    </row>
    <row r="14" spans="1:36" x14ac:dyDescent="0.35">
      <c r="A14" s="87" t="s">
        <v>58</v>
      </c>
      <c r="B14" s="74"/>
      <c r="C14" s="75">
        <v>11</v>
      </c>
      <c r="D14" s="12" t="s">
        <v>622</v>
      </c>
      <c r="F14" s="74"/>
      <c r="G14" s="102">
        <v>1.1000000000000001</v>
      </c>
      <c r="H14" s="67" t="s">
        <v>60</v>
      </c>
      <c r="I14" s="89"/>
      <c r="J14" s="80">
        <v>12</v>
      </c>
      <c r="K14" s="58" t="s">
        <v>320</v>
      </c>
      <c r="L14" s="81"/>
      <c r="M14" s="82">
        <v>1.1100000000000001</v>
      </c>
      <c r="N14" s="83" t="s">
        <v>66</v>
      </c>
      <c r="O14" s="90"/>
      <c r="P14" s="70"/>
      <c r="Q14" s="70"/>
      <c r="R14" s="142"/>
      <c r="S14" s="142"/>
      <c r="T14" s="148" t="str">
        <f t="shared" si="0"/>
        <v>INSERT INTO Tb_Factor_Causa_Incidente VALUES('1.10 Otras incapacidades físicas permanentes','Factor Personal','ACT')</v>
      </c>
      <c r="U14" s="74"/>
      <c r="V14" s="66" t="s">
        <v>378</v>
      </c>
      <c r="X14" s="71" t="s">
        <v>399</v>
      </c>
      <c r="Y14" s="93"/>
      <c r="Z14" s="96" t="s">
        <v>452</v>
      </c>
      <c r="AA14" s="93"/>
      <c r="AB14" s="97" t="s">
        <v>466</v>
      </c>
      <c r="AC14" s="93"/>
      <c r="AD14" s="101" t="s">
        <v>476</v>
      </c>
      <c r="AF14" s="98" t="s">
        <v>556</v>
      </c>
      <c r="AH14" s="99" t="s">
        <v>1</v>
      </c>
    </row>
    <row r="15" spans="1:36" x14ac:dyDescent="0.35">
      <c r="A15" s="87" t="s">
        <v>63</v>
      </c>
      <c r="B15" s="74"/>
      <c r="C15" s="75">
        <v>12</v>
      </c>
      <c r="D15" s="12" t="s">
        <v>623</v>
      </c>
      <c r="F15" s="74"/>
      <c r="G15" s="88">
        <v>1.1100000000000001</v>
      </c>
      <c r="H15" s="67" t="s">
        <v>64</v>
      </c>
      <c r="I15" s="89"/>
      <c r="J15" s="80">
        <v>13</v>
      </c>
      <c r="K15" s="58" t="s">
        <v>329</v>
      </c>
      <c r="L15" s="81"/>
      <c r="M15" s="82">
        <v>1.1200000000000001</v>
      </c>
      <c r="N15" s="83" t="s">
        <v>69</v>
      </c>
      <c r="O15" s="90"/>
      <c r="P15" s="70"/>
      <c r="Q15" s="70"/>
      <c r="R15" s="142"/>
      <c r="S15" s="142"/>
      <c r="T15" s="148" t="str">
        <f t="shared" si="0"/>
        <v>INSERT INTO Tb_Factor_Causa_Incidente VALUES('1.11 Incapacidades temporales','Factor Personal','ACT')</v>
      </c>
      <c r="U15" s="74"/>
      <c r="V15" s="66" t="s">
        <v>379</v>
      </c>
      <c r="X15" s="82" t="s">
        <v>400</v>
      </c>
      <c r="Y15" s="93"/>
      <c r="AA15" s="93"/>
      <c r="AB15" s="97" t="s">
        <v>467</v>
      </c>
      <c r="AC15" s="93"/>
      <c r="AD15" s="101" t="s">
        <v>477</v>
      </c>
      <c r="AH15" s="99" t="s">
        <v>2</v>
      </c>
    </row>
    <row r="16" spans="1:36" x14ac:dyDescent="0.35">
      <c r="A16" s="87" t="s">
        <v>67</v>
      </c>
      <c r="B16" s="74"/>
      <c r="C16" s="75">
        <v>13</v>
      </c>
      <c r="D16" s="12" t="s">
        <v>624</v>
      </c>
      <c r="F16" s="74"/>
      <c r="G16" s="77">
        <v>2</v>
      </c>
      <c r="H16" s="78" t="s">
        <v>72</v>
      </c>
      <c r="I16" s="89"/>
      <c r="J16" s="80">
        <v>14</v>
      </c>
      <c r="K16" s="58" t="s">
        <v>334</v>
      </c>
      <c r="L16" s="81"/>
      <c r="M16" s="82">
        <v>1.1299999999999999</v>
      </c>
      <c r="N16" s="83" t="s">
        <v>73</v>
      </c>
      <c r="O16" s="90"/>
      <c r="P16" s="70"/>
      <c r="Q16" s="70"/>
      <c r="R16" s="142"/>
      <c r="S16" s="142"/>
      <c r="T16" s="148" t="str">
        <f t="shared" si="0"/>
        <v>INSERT INTO Tb_Factor_Causa_Incidente VALUES('2. Capacidad Mentales/Psicológicas Inadecuadas','Factor Personal','ACT')</v>
      </c>
      <c r="U16" s="74"/>
      <c r="V16" s="66" t="s">
        <v>380</v>
      </c>
      <c r="X16" s="71" t="s">
        <v>401</v>
      </c>
      <c r="Z16" s="57" t="s">
        <v>392</v>
      </c>
      <c r="AB16" s="97" t="s">
        <v>468</v>
      </c>
      <c r="AC16" s="93"/>
      <c r="AD16" s="101" t="s">
        <v>478</v>
      </c>
      <c r="AH16" s="99" t="s">
        <v>3</v>
      </c>
    </row>
    <row r="17" spans="1:34" x14ac:dyDescent="0.35">
      <c r="A17" s="87" t="s">
        <v>70</v>
      </c>
      <c r="B17" s="74"/>
      <c r="C17" s="75">
        <v>14</v>
      </c>
      <c r="D17" s="12" t="s">
        <v>625</v>
      </c>
      <c r="F17" s="74"/>
      <c r="G17" s="88">
        <v>2.1</v>
      </c>
      <c r="H17" s="67" t="s">
        <v>75</v>
      </c>
      <c r="I17" s="89"/>
      <c r="J17" s="80">
        <v>15</v>
      </c>
      <c r="K17" s="58" t="s">
        <v>338</v>
      </c>
      <c r="L17" s="81"/>
      <c r="M17" s="82">
        <v>1.1399999999999999</v>
      </c>
      <c r="N17" s="83" t="s">
        <v>77</v>
      </c>
      <c r="O17" s="90"/>
      <c r="P17" s="70"/>
      <c r="Q17" s="70"/>
      <c r="R17" s="142"/>
      <c r="S17" s="142"/>
      <c r="T17" s="148" t="str">
        <f t="shared" si="0"/>
        <v>INSERT INTO Tb_Factor_Causa_Incidente VALUES('2.1 Temores y fobias','Factor Personal','ACT')</v>
      </c>
      <c r="U17" s="74"/>
      <c r="V17" s="66" t="s">
        <v>52</v>
      </c>
      <c r="Z17" s="103" t="s">
        <v>668</v>
      </c>
      <c r="AB17" s="97"/>
      <c r="AC17" s="93"/>
      <c r="AD17" s="101" t="s">
        <v>71</v>
      </c>
      <c r="AH17" s="99" t="s">
        <v>4</v>
      </c>
    </row>
    <row r="18" spans="1:34" ht="16.5" x14ac:dyDescent="0.35">
      <c r="A18" s="87" t="s">
        <v>74</v>
      </c>
      <c r="B18" s="74"/>
      <c r="C18" s="75">
        <v>15</v>
      </c>
      <c r="D18" s="12" t="s">
        <v>626</v>
      </c>
      <c r="E18" s="104"/>
      <c r="F18" s="74"/>
      <c r="G18" s="88">
        <v>2.2000000000000002</v>
      </c>
      <c r="H18" s="67" t="s">
        <v>79</v>
      </c>
      <c r="I18" s="79"/>
      <c r="J18" s="80">
        <v>16</v>
      </c>
      <c r="K18" s="58" t="s">
        <v>342</v>
      </c>
      <c r="L18" s="81"/>
      <c r="M18" s="82">
        <v>1.1499999999999999</v>
      </c>
      <c r="N18" s="83" t="s">
        <v>81</v>
      </c>
      <c r="O18" s="90"/>
      <c r="P18" s="70"/>
      <c r="Q18" s="70"/>
      <c r="R18" s="142"/>
      <c r="S18" s="142"/>
      <c r="T18" s="148" t="str">
        <f t="shared" si="0"/>
        <v>INSERT INTO Tb_Factor_Causa_Incidente VALUES('2.2 Disturbios emocionales','Factor Personal','ACT')</v>
      </c>
      <c r="U18" s="74"/>
      <c r="V18" s="95" t="s">
        <v>381</v>
      </c>
      <c r="Z18" s="105" t="s">
        <v>605</v>
      </c>
      <c r="AC18" s="93"/>
      <c r="AH18" s="99" t="s">
        <v>487</v>
      </c>
    </row>
    <row r="19" spans="1:34" x14ac:dyDescent="0.35">
      <c r="A19" s="87" t="s">
        <v>78</v>
      </c>
      <c r="B19" s="74"/>
      <c r="C19" s="75">
        <v>16</v>
      </c>
      <c r="D19" s="12" t="s">
        <v>627</v>
      </c>
      <c r="E19" s="104"/>
      <c r="F19" s="74"/>
      <c r="G19" s="88">
        <v>2.2999999999999998</v>
      </c>
      <c r="H19" s="67" t="s">
        <v>83</v>
      </c>
      <c r="I19" s="89"/>
      <c r="J19" s="80">
        <v>17</v>
      </c>
      <c r="K19" s="58" t="s">
        <v>346</v>
      </c>
      <c r="L19" s="81"/>
      <c r="M19" s="82">
        <v>1.1599999999999999</v>
      </c>
      <c r="N19" s="83" t="s">
        <v>85</v>
      </c>
      <c r="O19" s="90"/>
      <c r="P19" s="70"/>
      <c r="Q19" s="70"/>
      <c r="R19" s="142"/>
      <c r="S19" s="142"/>
      <c r="T19" s="148" t="str">
        <f t="shared" si="0"/>
        <v>INSERT INTO Tb_Factor_Causa_Incidente VALUES('2.3 Enfermedad mental','Factor Personal','ACT')</v>
      </c>
      <c r="U19" s="74"/>
      <c r="V19" s="66" t="s">
        <v>382</v>
      </c>
      <c r="X19" s="56" t="s">
        <v>601</v>
      </c>
      <c r="Z19" s="103" t="s">
        <v>669</v>
      </c>
      <c r="AC19" s="93"/>
      <c r="AD19" s="93"/>
      <c r="AH19" s="99" t="s">
        <v>488</v>
      </c>
    </row>
    <row r="20" spans="1:34" x14ac:dyDescent="0.35">
      <c r="A20" s="87" t="s">
        <v>82</v>
      </c>
      <c r="B20" s="74"/>
      <c r="C20" s="75">
        <v>17</v>
      </c>
      <c r="D20" s="12" t="s">
        <v>628</v>
      </c>
      <c r="E20" s="106"/>
      <c r="F20" s="74"/>
      <c r="G20" s="88">
        <v>2.4</v>
      </c>
      <c r="H20" s="67" t="s">
        <v>87</v>
      </c>
      <c r="I20" s="89"/>
      <c r="J20" s="80">
        <v>18</v>
      </c>
      <c r="K20" s="58" t="s">
        <v>356</v>
      </c>
      <c r="L20" s="81"/>
      <c r="T20" s="148" t="str">
        <f t="shared" si="0"/>
        <v>INSERT INTO Tb_Factor_Causa_Incidente VALUES('2.4 Nivel de inteligencia','Factor Personal','ACT')</v>
      </c>
      <c r="U20" s="74"/>
      <c r="V20" s="66" t="s">
        <v>383</v>
      </c>
      <c r="X20" s="107" t="s">
        <v>480</v>
      </c>
      <c r="Z20" s="105" t="s">
        <v>600</v>
      </c>
      <c r="AC20" s="93"/>
      <c r="AD20" s="93"/>
      <c r="AH20" s="99" t="s">
        <v>489</v>
      </c>
    </row>
    <row r="21" spans="1:34" ht="17" thickBot="1" x14ac:dyDescent="0.4">
      <c r="A21" s="87" t="s">
        <v>86</v>
      </c>
      <c r="B21" s="74"/>
      <c r="C21" s="75">
        <v>18</v>
      </c>
      <c r="D21" s="12" t="s">
        <v>629</v>
      </c>
      <c r="E21" s="106"/>
      <c r="F21" s="74"/>
      <c r="G21" s="88">
        <v>2.5</v>
      </c>
      <c r="H21" s="67" t="s">
        <v>90</v>
      </c>
      <c r="I21" s="89"/>
      <c r="J21" s="80">
        <v>19</v>
      </c>
      <c r="K21" s="58" t="s">
        <v>361</v>
      </c>
      <c r="L21" s="81"/>
      <c r="M21" s="80">
        <v>2</v>
      </c>
      <c r="N21" s="58" t="s">
        <v>92</v>
      </c>
      <c r="O21" s="64" t="s">
        <v>460</v>
      </c>
      <c r="P21" s="65" t="s">
        <v>461</v>
      </c>
      <c r="Q21" s="65" t="s">
        <v>462</v>
      </c>
      <c r="R21" s="142"/>
      <c r="S21" s="142"/>
      <c r="T21" s="148" t="str">
        <f t="shared" si="0"/>
        <v>INSERT INTO Tb_Factor_Causa_Incidente VALUES('2.5 Incapacidad para comprender','Factor Personal','ACT')</v>
      </c>
      <c r="U21" s="74"/>
      <c r="V21" s="66" t="s">
        <v>47</v>
      </c>
      <c r="X21" s="98" t="s">
        <v>681</v>
      </c>
      <c r="Z21" s="105" t="s">
        <v>605</v>
      </c>
      <c r="AC21" s="93"/>
      <c r="AD21" s="93"/>
    </row>
    <row r="22" spans="1:34" x14ac:dyDescent="0.35">
      <c r="A22" s="87" t="s">
        <v>89</v>
      </c>
      <c r="B22" s="74"/>
      <c r="C22" s="75">
        <v>19</v>
      </c>
      <c r="D22" s="12" t="s">
        <v>630</v>
      </c>
      <c r="E22" s="106"/>
      <c r="F22" s="74"/>
      <c r="G22" s="88">
        <v>2.6</v>
      </c>
      <c r="H22" s="67" t="s">
        <v>95</v>
      </c>
      <c r="I22" s="89"/>
      <c r="J22" s="80">
        <v>20</v>
      </c>
      <c r="K22" s="58" t="s">
        <v>363</v>
      </c>
      <c r="L22" s="108"/>
      <c r="M22" s="82">
        <v>2.1</v>
      </c>
      <c r="N22" s="83" t="s">
        <v>97</v>
      </c>
      <c r="O22" s="84"/>
      <c r="P22" s="85"/>
      <c r="Q22" s="85"/>
      <c r="R22" s="142"/>
      <c r="S22" s="142"/>
      <c r="T22" s="148" t="str">
        <f t="shared" si="0"/>
        <v>INSERT INTO Tb_Factor_Causa_Incidente VALUES('2.6 Mal juicio','Factor Personal','ACT')</v>
      </c>
      <c r="U22" s="109"/>
      <c r="V22" s="68" t="s">
        <v>93</v>
      </c>
      <c r="X22" s="98" t="s">
        <v>682</v>
      </c>
      <c r="Y22" s="93"/>
      <c r="AA22" s="93"/>
      <c r="AB22" s="93"/>
      <c r="AC22" s="93"/>
      <c r="AD22" s="93"/>
    </row>
    <row r="23" spans="1:34" x14ac:dyDescent="0.35">
      <c r="A23" s="87" t="s">
        <v>94</v>
      </c>
      <c r="B23" s="74"/>
      <c r="C23" s="75">
        <v>20</v>
      </c>
      <c r="D23" s="12" t="s">
        <v>631</v>
      </c>
      <c r="E23" s="106"/>
      <c r="F23" s="108" t="s">
        <v>13</v>
      </c>
      <c r="G23" s="88">
        <v>2.7</v>
      </c>
      <c r="H23" s="67" t="s">
        <v>100</v>
      </c>
      <c r="I23" s="89"/>
      <c r="L23" s="108"/>
      <c r="M23" s="82">
        <v>2.2000000000000002</v>
      </c>
      <c r="N23" s="83" t="s">
        <v>102</v>
      </c>
      <c r="O23" s="90"/>
      <c r="P23" s="70"/>
      <c r="Q23" s="70"/>
      <c r="R23" s="142"/>
      <c r="S23" s="142"/>
      <c r="T23" s="148" t="str">
        <f t="shared" si="0"/>
        <v>INSERT INTO Tb_Factor_Causa_Incidente VALUES('2.7 Mala coordinación','Factor Personal','ACT')</v>
      </c>
      <c r="U23" s="109"/>
      <c r="V23" s="68" t="s">
        <v>98</v>
      </c>
      <c r="X23" s="107" t="s">
        <v>481</v>
      </c>
      <c r="Y23" s="93"/>
      <c r="AA23" s="93"/>
      <c r="AB23" s="93"/>
      <c r="AC23" s="93"/>
      <c r="AD23" s="93"/>
    </row>
    <row r="24" spans="1:34" x14ac:dyDescent="0.35">
      <c r="A24" s="87" t="s">
        <v>99</v>
      </c>
      <c r="B24" s="74"/>
      <c r="C24" s="75">
        <v>21</v>
      </c>
      <c r="D24" s="134" t="s">
        <v>632</v>
      </c>
      <c r="E24" s="106"/>
      <c r="F24" s="108" t="s">
        <v>13</v>
      </c>
      <c r="G24" s="88">
        <v>2.8</v>
      </c>
      <c r="H24" s="67" t="s">
        <v>106</v>
      </c>
      <c r="I24" s="89"/>
      <c r="J24" s="89"/>
      <c r="K24" s="108" t="s">
        <v>13</v>
      </c>
      <c r="L24" s="108"/>
      <c r="M24" s="82">
        <v>2.2999999999999998</v>
      </c>
      <c r="N24" s="83" t="s">
        <v>108</v>
      </c>
      <c r="O24" s="90"/>
      <c r="P24" s="70"/>
      <c r="Q24" s="70"/>
      <c r="R24" s="142"/>
      <c r="S24" s="142"/>
      <c r="T24" s="148" t="str">
        <f t="shared" si="0"/>
        <v>INSERT INTO Tb_Factor_Causa_Incidente VALUES('2.8 Reacción lenta','Factor Personal','ACT')</v>
      </c>
      <c r="U24" s="109"/>
      <c r="V24" s="68" t="s">
        <v>103</v>
      </c>
      <c r="X24" s="107" t="s">
        <v>482</v>
      </c>
      <c r="Y24" s="93"/>
      <c r="Z24" s="57" t="s">
        <v>392</v>
      </c>
      <c r="AA24" s="93"/>
      <c r="AB24" s="93"/>
      <c r="AC24" s="93"/>
      <c r="AD24" s="93"/>
    </row>
    <row r="25" spans="1:34" x14ac:dyDescent="0.35">
      <c r="A25" s="87" t="s">
        <v>104</v>
      </c>
      <c r="B25" s="74"/>
      <c r="C25" s="75">
        <v>22</v>
      </c>
      <c r="D25" s="12" t="s">
        <v>633</v>
      </c>
      <c r="E25" s="106"/>
      <c r="F25" s="108" t="s">
        <v>13</v>
      </c>
      <c r="G25" s="88">
        <v>2.9</v>
      </c>
      <c r="H25" s="67" t="s">
        <v>112</v>
      </c>
      <c r="I25" s="89"/>
      <c r="J25" s="89"/>
      <c r="K25" s="108" t="s">
        <v>13</v>
      </c>
      <c r="L25" s="108"/>
      <c r="M25" s="82">
        <v>2.4</v>
      </c>
      <c r="N25" s="83" t="s">
        <v>114</v>
      </c>
      <c r="O25" s="90"/>
      <c r="P25" s="70"/>
      <c r="Q25" s="70"/>
      <c r="R25" s="142"/>
      <c r="S25" s="142"/>
      <c r="T25" s="148" t="str">
        <f t="shared" si="0"/>
        <v>INSERT INTO Tb_Factor_Causa_Incidente VALUES('2.9 Poca aptitud mecánica','Factor Personal','ACT')</v>
      </c>
      <c r="U25" s="109"/>
      <c r="V25" s="68" t="s">
        <v>109</v>
      </c>
      <c r="X25" s="107" t="s">
        <v>483</v>
      </c>
      <c r="Y25" s="93"/>
      <c r="Z25" s="103" t="s">
        <v>599</v>
      </c>
      <c r="AA25" s="93"/>
      <c r="AB25" s="93"/>
      <c r="AC25" s="93"/>
      <c r="AD25" s="93"/>
    </row>
    <row r="26" spans="1:34" x14ac:dyDescent="0.35">
      <c r="A26" s="87" t="s">
        <v>110</v>
      </c>
      <c r="B26" s="74"/>
      <c r="C26" s="75">
        <v>23</v>
      </c>
      <c r="D26" s="12" t="s">
        <v>634</v>
      </c>
      <c r="E26" s="106"/>
      <c r="F26" s="108" t="s">
        <v>13</v>
      </c>
      <c r="G26" s="102">
        <v>2.1</v>
      </c>
      <c r="H26" s="67" t="s">
        <v>117</v>
      </c>
      <c r="I26" s="89"/>
      <c r="J26" s="89"/>
      <c r="K26" s="108" t="s">
        <v>13</v>
      </c>
      <c r="L26" s="108"/>
      <c r="M26" s="82">
        <v>2.5</v>
      </c>
      <c r="N26" s="83" t="s">
        <v>118</v>
      </c>
      <c r="O26" s="90"/>
      <c r="P26" s="70"/>
      <c r="Q26" s="70"/>
      <c r="R26" s="142"/>
      <c r="S26" s="142"/>
      <c r="T26" s="148" t="str">
        <f t="shared" si="0"/>
        <v>INSERT INTO Tb_Factor_Causa_Incidente VALUES('2.10 Poca aptitud de aprendizaje','Factor Personal','ACT')</v>
      </c>
      <c r="U26" s="109"/>
      <c r="V26" s="68" t="s">
        <v>115</v>
      </c>
      <c r="X26" s="107" t="s">
        <v>71</v>
      </c>
      <c r="Y26" s="93"/>
      <c r="AA26" s="93"/>
      <c r="AB26" s="93"/>
      <c r="AC26" s="93"/>
      <c r="AD26" s="93"/>
    </row>
    <row r="27" spans="1:34" x14ac:dyDescent="0.35">
      <c r="A27" s="87" t="s">
        <v>71</v>
      </c>
      <c r="C27" s="75">
        <v>24</v>
      </c>
      <c r="D27" s="76"/>
      <c r="F27" s="108" t="s">
        <v>13</v>
      </c>
      <c r="G27" s="88">
        <v>2.11</v>
      </c>
      <c r="H27" s="67" t="s">
        <v>121</v>
      </c>
      <c r="I27" s="89"/>
      <c r="J27" s="89"/>
      <c r="K27" s="108" t="s">
        <v>13</v>
      </c>
      <c r="L27" s="108"/>
      <c r="M27" s="82">
        <v>2.6</v>
      </c>
      <c r="N27" s="83" t="s">
        <v>123</v>
      </c>
      <c r="O27" s="90"/>
      <c r="P27" s="70"/>
      <c r="Q27" s="70"/>
      <c r="R27" s="142"/>
      <c r="S27" s="142"/>
      <c r="T27" s="148" t="str">
        <f t="shared" si="0"/>
        <v>INSERT INTO Tb_Factor_Causa_Incidente VALUES('2.11 Falla en la memoria','Factor Personal','ACT')</v>
      </c>
      <c r="U27" s="110"/>
      <c r="V27" s="68" t="s">
        <v>119</v>
      </c>
      <c r="X27" s="107" t="s">
        <v>484</v>
      </c>
      <c r="Y27" s="93"/>
      <c r="AA27" s="93"/>
      <c r="AB27" s="93"/>
      <c r="AC27" s="93"/>
      <c r="AD27" s="93"/>
    </row>
    <row r="28" spans="1:34" ht="15" customHeight="1" x14ac:dyDescent="0.35">
      <c r="C28" s="59"/>
      <c r="D28" s="111" t="s">
        <v>577</v>
      </c>
      <c r="F28" s="108" t="s">
        <v>13</v>
      </c>
      <c r="G28" s="77">
        <v>3</v>
      </c>
      <c r="H28" s="78" t="s">
        <v>126</v>
      </c>
      <c r="I28" s="79"/>
      <c r="J28" s="79"/>
      <c r="K28" s="108" t="s">
        <v>13</v>
      </c>
      <c r="L28" s="108"/>
      <c r="M28" s="82">
        <v>2.7</v>
      </c>
      <c r="N28" s="83" t="s">
        <v>125</v>
      </c>
      <c r="O28" s="90"/>
      <c r="P28" s="70"/>
      <c r="Q28" s="70"/>
      <c r="R28" s="142"/>
      <c r="S28" s="142"/>
      <c r="T28" s="148" t="str">
        <f t="shared" si="0"/>
        <v>INSERT INTO Tb_Factor_Causa_Incidente VALUES('3. Tensión Física o Fisiológica','Factor Personal','ACT')</v>
      </c>
      <c r="U28" s="110"/>
      <c r="X28" s="56" t="s">
        <v>502</v>
      </c>
      <c r="Y28" s="93"/>
      <c r="Z28" s="56" t="s">
        <v>547</v>
      </c>
      <c r="AA28" s="93"/>
      <c r="AB28" s="56" t="s">
        <v>587</v>
      </c>
      <c r="AC28" s="93"/>
      <c r="AD28" s="56" t="s">
        <v>596</v>
      </c>
      <c r="AF28" s="56" t="s">
        <v>665</v>
      </c>
    </row>
    <row r="29" spans="1:34" x14ac:dyDescent="0.35">
      <c r="C29" s="75">
        <v>1</v>
      </c>
      <c r="D29" s="135" t="s">
        <v>635</v>
      </c>
      <c r="F29" s="108" t="s">
        <v>13</v>
      </c>
      <c r="G29" s="88">
        <v>3.1</v>
      </c>
      <c r="H29" s="67" t="s">
        <v>129</v>
      </c>
      <c r="I29" s="89"/>
      <c r="J29" s="89"/>
      <c r="K29" s="108" t="s">
        <v>13</v>
      </c>
      <c r="L29" s="108"/>
      <c r="M29" s="82">
        <v>2.8</v>
      </c>
      <c r="N29" s="83" t="s">
        <v>128</v>
      </c>
      <c r="O29" s="90"/>
      <c r="P29" s="70"/>
      <c r="Q29" s="70"/>
      <c r="R29" s="142"/>
      <c r="S29" s="142"/>
      <c r="T29" s="148" t="str">
        <f t="shared" si="0"/>
        <v>INSERT INTO Tb_Factor_Causa_Incidente VALUES('3.1 Lesión o enfermedad','Factor Personal','ACT')</v>
      </c>
      <c r="U29" s="110"/>
      <c r="X29" s="107" t="s">
        <v>552</v>
      </c>
      <c r="Y29" s="93"/>
      <c r="Z29" s="113" t="s">
        <v>503</v>
      </c>
      <c r="AA29" s="93"/>
      <c r="AB29" s="101" t="s">
        <v>588</v>
      </c>
      <c r="AC29" s="93"/>
      <c r="AD29" s="101" t="s">
        <v>597</v>
      </c>
      <c r="AF29" s="101" t="s">
        <v>666</v>
      </c>
    </row>
    <row r="30" spans="1:34" x14ac:dyDescent="0.35">
      <c r="C30" s="75">
        <v>2</v>
      </c>
      <c r="D30" s="135" t="s">
        <v>636</v>
      </c>
      <c r="F30" s="108" t="s">
        <v>13</v>
      </c>
      <c r="G30" s="88">
        <v>3.2</v>
      </c>
      <c r="H30" s="67" t="s">
        <v>131</v>
      </c>
      <c r="I30" s="89"/>
      <c r="J30" s="89"/>
      <c r="K30" s="108" t="s">
        <v>13</v>
      </c>
      <c r="L30" s="108"/>
      <c r="Q30" s="114"/>
      <c r="T30" s="148" t="str">
        <f t="shared" si="0"/>
        <v>INSERT INTO Tb_Factor_Causa_Incidente VALUES('3.2 Fatiga por carga o duración de tarea','Factor Personal','ACT')</v>
      </c>
      <c r="U30" s="110"/>
      <c r="X30" s="107" t="s">
        <v>491</v>
      </c>
      <c r="Z30" s="113" t="s">
        <v>504</v>
      </c>
      <c r="AB30" s="98" t="s">
        <v>589</v>
      </c>
      <c r="AD30" s="101" t="s">
        <v>598</v>
      </c>
      <c r="AF30" s="101" t="s">
        <v>667</v>
      </c>
    </row>
    <row r="31" spans="1:34" ht="15" thickBot="1" x14ac:dyDescent="0.4">
      <c r="A31" s="115"/>
      <c r="C31" s="75">
        <v>3</v>
      </c>
      <c r="D31" s="135" t="s">
        <v>637</v>
      </c>
      <c r="F31" s="108" t="s">
        <v>13</v>
      </c>
      <c r="G31" s="88">
        <v>3.3</v>
      </c>
      <c r="H31" s="67" t="s">
        <v>134</v>
      </c>
      <c r="I31" s="89"/>
      <c r="J31" s="89"/>
      <c r="K31" s="108" t="s">
        <v>13</v>
      </c>
      <c r="L31" s="108"/>
      <c r="M31" s="80">
        <v>3</v>
      </c>
      <c r="N31" s="58" t="s">
        <v>133</v>
      </c>
      <c r="O31" s="64" t="s">
        <v>460</v>
      </c>
      <c r="P31" s="65" t="s">
        <v>461</v>
      </c>
      <c r="Q31" s="65" t="s">
        <v>462</v>
      </c>
      <c r="R31" s="142"/>
      <c r="S31" s="142"/>
      <c r="T31" s="148" t="str">
        <f t="shared" si="0"/>
        <v>INSERT INTO Tb_Factor_Causa_Incidente VALUES('3.3 Fatiga por falta de descanso','Factor Personal','ACT')</v>
      </c>
      <c r="U31" s="110"/>
      <c r="X31" s="107" t="s">
        <v>492</v>
      </c>
      <c r="Z31" s="113" t="s">
        <v>505</v>
      </c>
      <c r="AB31" s="101" t="s">
        <v>590</v>
      </c>
    </row>
    <row r="32" spans="1:34" x14ac:dyDescent="0.35">
      <c r="A32" s="115"/>
      <c r="C32" s="75">
        <v>4</v>
      </c>
      <c r="D32" s="135" t="s">
        <v>638</v>
      </c>
      <c r="F32" s="108" t="s">
        <v>13</v>
      </c>
      <c r="G32" s="88">
        <v>3.4</v>
      </c>
      <c r="H32" s="67" t="s">
        <v>137</v>
      </c>
      <c r="I32" s="89"/>
      <c r="J32" s="89"/>
      <c r="K32" s="108" t="s">
        <v>13</v>
      </c>
      <c r="L32" s="108"/>
      <c r="M32" s="82">
        <v>3.1</v>
      </c>
      <c r="N32" s="83" t="s">
        <v>136</v>
      </c>
      <c r="O32" s="70"/>
      <c r="P32" s="70"/>
      <c r="Q32" s="70"/>
      <c r="R32" s="142"/>
      <c r="S32" s="142"/>
      <c r="T32" s="148" t="str">
        <f t="shared" si="0"/>
        <v>INSERT INTO Tb_Factor_Causa_Incidente VALUES('3.4 Fatiga por sobrecarga sensitivas','Factor Personal','ACT')</v>
      </c>
      <c r="U32" s="110"/>
      <c r="X32" s="107" t="s">
        <v>493</v>
      </c>
      <c r="Z32" s="113" t="s">
        <v>506</v>
      </c>
      <c r="AB32" s="101" t="s">
        <v>591</v>
      </c>
    </row>
    <row r="33" spans="1:28" x14ac:dyDescent="0.35">
      <c r="A33" s="115"/>
      <c r="C33" s="75">
        <v>5</v>
      </c>
      <c r="D33" s="135" t="s">
        <v>639</v>
      </c>
      <c r="F33" s="108" t="s">
        <v>13</v>
      </c>
      <c r="G33" s="88">
        <v>3.5</v>
      </c>
      <c r="H33" s="67" t="s">
        <v>140</v>
      </c>
      <c r="I33" s="89"/>
      <c r="J33" s="89"/>
      <c r="K33" s="108" t="s">
        <v>13</v>
      </c>
      <c r="L33" s="108"/>
      <c r="M33" s="82">
        <v>3.2</v>
      </c>
      <c r="N33" s="83" t="s">
        <v>139</v>
      </c>
      <c r="O33" s="70"/>
      <c r="P33" s="70"/>
      <c r="Q33" s="70"/>
      <c r="R33" s="142"/>
      <c r="S33" s="142"/>
      <c r="T33" s="148" t="str">
        <f t="shared" si="0"/>
        <v>INSERT INTO Tb_Factor_Causa_Incidente VALUES('3.5 Exposición a riesgos contra la salud','Factor Personal','ACT')</v>
      </c>
      <c r="U33" s="110"/>
      <c r="X33" s="107" t="s">
        <v>494</v>
      </c>
      <c r="Z33" s="113" t="s">
        <v>507</v>
      </c>
      <c r="AB33" s="101" t="s">
        <v>592</v>
      </c>
    </row>
    <row r="34" spans="1:28" x14ac:dyDescent="0.35">
      <c r="A34" s="115"/>
      <c r="C34" s="75">
        <v>6</v>
      </c>
      <c r="D34" s="135" t="s">
        <v>640</v>
      </c>
      <c r="F34" s="108" t="s">
        <v>13</v>
      </c>
      <c r="G34" s="88">
        <v>3.6</v>
      </c>
      <c r="H34" s="67" t="s">
        <v>143</v>
      </c>
      <c r="I34" s="89"/>
      <c r="J34" s="89"/>
      <c r="K34" s="108" t="s">
        <v>13</v>
      </c>
      <c r="L34" s="108"/>
      <c r="M34" s="82">
        <v>3.3</v>
      </c>
      <c r="N34" s="83" t="s">
        <v>142</v>
      </c>
      <c r="O34" s="70"/>
      <c r="P34" s="70"/>
      <c r="Q34" s="70"/>
      <c r="R34" s="142"/>
      <c r="S34" s="142"/>
      <c r="T34" s="148" t="str">
        <f t="shared" si="0"/>
        <v>INSERT INTO Tb_Factor_Causa_Incidente VALUES('3.6 Exposición a temperatura extremas','Factor Personal','ACT')</v>
      </c>
      <c r="U34" s="110"/>
      <c r="X34" s="107" t="s">
        <v>549</v>
      </c>
      <c r="Z34" s="113" t="s">
        <v>508</v>
      </c>
      <c r="AB34" s="101" t="s">
        <v>593</v>
      </c>
    </row>
    <row r="35" spans="1:28" x14ac:dyDescent="0.35">
      <c r="C35" s="75">
        <v>7</v>
      </c>
      <c r="D35" s="135" t="s">
        <v>641</v>
      </c>
      <c r="F35" s="108" t="s">
        <v>13</v>
      </c>
      <c r="G35" s="88">
        <v>3.7</v>
      </c>
      <c r="H35" s="67" t="s">
        <v>146</v>
      </c>
      <c r="I35" s="89"/>
      <c r="J35" s="89"/>
      <c r="K35" s="108" t="s">
        <v>13</v>
      </c>
      <c r="L35" s="108"/>
      <c r="M35" s="82">
        <v>3.4</v>
      </c>
      <c r="N35" s="83" t="s">
        <v>145</v>
      </c>
      <c r="O35" s="70"/>
      <c r="P35" s="70"/>
      <c r="Q35" s="70"/>
      <c r="R35" s="142"/>
      <c r="S35" s="142"/>
      <c r="T35" s="148" t="str">
        <f t="shared" si="0"/>
        <v>INSERT INTO Tb_Factor_Causa_Incidente VALUES('3.7 Insuficiencia de oxígeno','Factor Personal','ACT')</v>
      </c>
      <c r="U35" s="110"/>
      <c r="X35" s="107" t="s">
        <v>548</v>
      </c>
      <c r="Z35" s="113" t="s">
        <v>509</v>
      </c>
      <c r="AB35" s="101" t="s">
        <v>595</v>
      </c>
    </row>
    <row r="36" spans="1:28" x14ac:dyDescent="0.35">
      <c r="C36" s="75">
        <v>8</v>
      </c>
      <c r="D36" s="135" t="s">
        <v>642</v>
      </c>
      <c r="F36" s="108" t="s">
        <v>13</v>
      </c>
      <c r="G36" s="88">
        <v>3.8</v>
      </c>
      <c r="H36" s="67" t="s">
        <v>149</v>
      </c>
      <c r="I36" s="89"/>
      <c r="J36" s="89"/>
      <c r="K36" s="108" t="s">
        <v>13</v>
      </c>
      <c r="L36" s="108"/>
      <c r="M36" s="82">
        <v>3.5</v>
      </c>
      <c r="N36" s="83" t="s">
        <v>148</v>
      </c>
      <c r="O36" s="70"/>
      <c r="P36" s="70"/>
      <c r="Q36" s="70"/>
      <c r="R36" s="142"/>
      <c r="S36" s="142"/>
      <c r="T36" s="148" t="str">
        <f t="shared" si="0"/>
        <v>INSERT INTO Tb_Factor_Causa_Incidente VALUES('3.8 Variación de presión atmosférica','Factor Personal','ACT')</v>
      </c>
      <c r="U36" s="110"/>
      <c r="X36" s="107" t="s">
        <v>495</v>
      </c>
      <c r="Z36" s="113" t="s">
        <v>510</v>
      </c>
      <c r="AB36" s="101" t="s">
        <v>594</v>
      </c>
    </row>
    <row r="37" spans="1:28" x14ac:dyDescent="0.35">
      <c r="C37" s="75">
        <v>9</v>
      </c>
      <c r="D37" s="135" t="s">
        <v>643</v>
      </c>
      <c r="F37" s="108" t="s">
        <v>13</v>
      </c>
      <c r="G37" s="88">
        <v>3.9</v>
      </c>
      <c r="H37" s="67" t="s">
        <v>152</v>
      </c>
      <c r="I37" s="89"/>
      <c r="J37" s="89"/>
      <c r="K37" s="108" t="s">
        <v>13</v>
      </c>
      <c r="L37" s="108"/>
      <c r="M37" s="82">
        <v>3.6</v>
      </c>
      <c r="N37" s="83" t="s">
        <v>151</v>
      </c>
      <c r="O37" s="70"/>
      <c r="P37" s="70"/>
      <c r="Q37" s="70"/>
      <c r="R37" s="142"/>
      <c r="S37" s="142"/>
      <c r="T37" s="148" t="str">
        <f t="shared" si="0"/>
        <v>INSERT INTO Tb_Factor_Causa_Incidente VALUES('3.9 Movimiento restringido','Factor Personal','ACT')</v>
      </c>
      <c r="U37" s="110"/>
      <c r="X37" s="107" t="s">
        <v>496</v>
      </c>
      <c r="Z37" s="113" t="s">
        <v>511</v>
      </c>
      <c r="AB37" s="48" t="s">
        <v>694</v>
      </c>
    </row>
    <row r="38" spans="1:28" x14ac:dyDescent="0.35">
      <c r="C38" s="75">
        <v>10</v>
      </c>
      <c r="D38" s="135" t="s">
        <v>644</v>
      </c>
      <c r="F38" s="108" t="s">
        <v>13</v>
      </c>
      <c r="G38" s="102">
        <v>3.1</v>
      </c>
      <c r="H38" s="67" t="s">
        <v>155</v>
      </c>
      <c r="I38" s="89"/>
      <c r="J38" s="89"/>
      <c r="K38" s="108" t="s">
        <v>13</v>
      </c>
      <c r="L38" s="108"/>
      <c r="M38" s="82">
        <v>3.7</v>
      </c>
      <c r="N38" s="83" t="s">
        <v>154</v>
      </c>
      <c r="O38" s="70"/>
      <c r="P38" s="70"/>
      <c r="Q38" s="70"/>
      <c r="R38" s="142"/>
      <c r="S38" s="142"/>
      <c r="T38" s="148" t="str">
        <f t="shared" si="0"/>
        <v>INSERT INTO Tb_Factor_Causa_Incidente VALUES('3.10 Insuficiencia de azúcar en la sangre','Factor Personal','ACT')</v>
      </c>
      <c r="U38" s="110"/>
      <c r="X38" s="107" t="s">
        <v>550</v>
      </c>
      <c r="Z38" s="113" t="s">
        <v>512</v>
      </c>
      <c r="AB38" s="56" t="s">
        <v>670</v>
      </c>
    </row>
    <row r="39" spans="1:28" x14ac:dyDescent="0.35">
      <c r="C39" s="75">
        <v>11</v>
      </c>
      <c r="D39" s="135" t="s">
        <v>645</v>
      </c>
      <c r="F39" s="108" t="s">
        <v>13</v>
      </c>
      <c r="G39" s="88">
        <v>3.11</v>
      </c>
      <c r="H39" s="67" t="s">
        <v>158</v>
      </c>
      <c r="I39" s="89"/>
      <c r="J39" s="89"/>
      <c r="K39" s="108" t="s">
        <v>13</v>
      </c>
      <c r="L39" s="108"/>
      <c r="M39" s="82">
        <v>3.8</v>
      </c>
      <c r="N39" s="83" t="s">
        <v>157</v>
      </c>
      <c r="O39" s="70"/>
      <c r="P39" s="70"/>
      <c r="Q39" s="70"/>
      <c r="R39" s="142"/>
      <c r="S39" s="142"/>
      <c r="T39" s="148" t="str">
        <f t="shared" si="0"/>
        <v>INSERT INTO Tb_Factor_Causa_Incidente VALUES('3.11 Drogas','Factor Personal','ACT')</v>
      </c>
      <c r="U39" s="110"/>
      <c r="X39" s="107" t="s">
        <v>497</v>
      </c>
      <c r="Z39" s="113" t="s">
        <v>513</v>
      </c>
      <c r="AB39" s="101" t="s">
        <v>671</v>
      </c>
    </row>
    <row r="40" spans="1:28" x14ac:dyDescent="0.35">
      <c r="C40" s="75">
        <v>12</v>
      </c>
      <c r="D40" s="135" t="s">
        <v>646</v>
      </c>
      <c r="F40" s="108" t="s">
        <v>13</v>
      </c>
      <c r="G40" s="77">
        <v>4</v>
      </c>
      <c r="H40" s="78" t="s">
        <v>161</v>
      </c>
      <c r="I40" s="89"/>
      <c r="J40" s="89"/>
      <c r="K40" s="108" t="s">
        <v>13</v>
      </c>
      <c r="L40" s="108"/>
      <c r="M40" s="82">
        <v>3.9</v>
      </c>
      <c r="N40" s="83" t="s">
        <v>159</v>
      </c>
      <c r="O40" s="70"/>
      <c r="P40" s="70"/>
      <c r="Q40" s="70"/>
      <c r="R40" s="142"/>
      <c r="S40" s="142"/>
      <c r="T40" s="148" t="str">
        <f t="shared" si="0"/>
        <v>INSERT INTO Tb_Factor_Causa_Incidente VALUES('4. Tensión mental o Psicológica','Factor Personal','ACT')</v>
      </c>
      <c r="U40" s="110"/>
      <c r="X40" s="107" t="s">
        <v>498</v>
      </c>
      <c r="Z40" s="113" t="s">
        <v>514</v>
      </c>
      <c r="AB40" s="98"/>
    </row>
    <row r="41" spans="1:28" x14ac:dyDescent="0.35">
      <c r="C41" s="75">
        <v>13</v>
      </c>
      <c r="D41" s="135" t="s">
        <v>647</v>
      </c>
      <c r="F41" s="108" t="s">
        <v>13</v>
      </c>
      <c r="G41" s="88">
        <v>4.0999999999999996</v>
      </c>
      <c r="H41" s="67" t="s">
        <v>164</v>
      </c>
      <c r="I41" s="89"/>
      <c r="J41" s="89"/>
      <c r="K41" s="108" t="s">
        <v>13</v>
      </c>
      <c r="L41" s="108"/>
      <c r="T41" s="148" t="str">
        <f t="shared" si="0"/>
        <v>INSERT INTO Tb_Factor_Causa_Incidente VALUES('4.1 Sobre carga emocional','Factor Personal','ACT')</v>
      </c>
      <c r="U41" s="110"/>
      <c r="X41" s="107" t="s">
        <v>499</v>
      </c>
      <c r="Z41" s="113" t="s">
        <v>515</v>
      </c>
      <c r="AB41" s="101"/>
    </row>
    <row r="42" spans="1:28" ht="15" thickBot="1" x14ac:dyDescent="0.4">
      <c r="C42" s="75">
        <v>14</v>
      </c>
      <c r="D42" s="135" t="s">
        <v>648</v>
      </c>
      <c r="F42" s="108" t="s">
        <v>13</v>
      </c>
      <c r="G42" s="88">
        <v>4.2</v>
      </c>
      <c r="H42" s="67" t="s">
        <v>168</v>
      </c>
      <c r="I42" s="79"/>
      <c r="J42" s="79"/>
      <c r="K42" s="108" t="s">
        <v>13</v>
      </c>
      <c r="L42" s="108"/>
      <c r="M42" s="80">
        <v>4</v>
      </c>
      <c r="N42" s="58" t="s">
        <v>163</v>
      </c>
      <c r="O42" s="64" t="s">
        <v>460</v>
      </c>
      <c r="P42" s="65" t="s">
        <v>461</v>
      </c>
      <c r="Q42" s="65" t="s">
        <v>462</v>
      </c>
      <c r="R42" s="142"/>
      <c r="S42" s="142"/>
      <c r="T42" s="148" t="str">
        <f t="shared" si="0"/>
        <v>INSERT INTO Tb_Factor_Causa_Incidente VALUES('4.2 Fatiga por cargo o velocidad de tarea mental','Factor Personal','ACT')</v>
      </c>
      <c r="U42" s="110"/>
      <c r="X42" s="107" t="s">
        <v>551</v>
      </c>
      <c r="Z42" s="113" t="s">
        <v>516</v>
      </c>
      <c r="AB42" s="101"/>
    </row>
    <row r="43" spans="1:28" x14ac:dyDescent="0.35">
      <c r="C43" s="75">
        <v>15</v>
      </c>
      <c r="D43" s="135" t="s">
        <v>649</v>
      </c>
      <c r="F43" s="108" t="s">
        <v>13</v>
      </c>
      <c r="G43" s="88">
        <v>4.3</v>
      </c>
      <c r="H43" s="67" t="s">
        <v>172</v>
      </c>
      <c r="I43" s="89"/>
      <c r="J43" s="89"/>
      <c r="K43" s="108" t="s">
        <v>13</v>
      </c>
      <c r="L43" s="108"/>
      <c r="M43" s="82">
        <v>4.0999999999999996</v>
      </c>
      <c r="N43" s="83" t="s">
        <v>167</v>
      </c>
      <c r="O43" s="84"/>
      <c r="P43" s="85"/>
      <c r="Q43" s="85"/>
      <c r="R43" s="142"/>
      <c r="S43" s="142"/>
      <c r="T43" s="148" t="str">
        <f t="shared" si="0"/>
        <v>INSERT INTO Tb_Factor_Causa_Incidente VALUES('4.3 Demanda extrema de opinión/ decisión','Factor Personal','ACT')</v>
      </c>
      <c r="U43" s="110"/>
      <c r="X43" s="107" t="s">
        <v>500</v>
      </c>
      <c r="Z43" s="113" t="s">
        <v>517</v>
      </c>
      <c r="AB43" s="101"/>
    </row>
    <row r="44" spans="1:28" x14ac:dyDescent="0.35">
      <c r="C44" s="75">
        <v>16</v>
      </c>
      <c r="D44" s="135" t="s">
        <v>650</v>
      </c>
      <c r="F44" s="108" t="s">
        <v>13</v>
      </c>
      <c r="G44" s="88">
        <v>4.4000000000000004</v>
      </c>
      <c r="H44" s="67" t="s">
        <v>176</v>
      </c>
      <c r="I44" s="89"/>
      <c r="J44" s="89"/>
      <c r="K44" s="108" t="s">
        <v>13</v>
      </c>
      <c r="L44" s="108"/>
      <c r="M44" s="82">
        <v>4.2</v>
      </c>
      <c r="N44" s="83" t="s">
        <v>171</v>
      </c>
      <c r="O44" s="90"/>
      <c r="P44" s="70"/>
      <c r="Q44" s="70"/>
      <c r="R44" s="142"/>
      <c r="S44" s="142"/>
      <c r="T44" s="148" t="str">
        <f t="shared" si="0"/>
        <v>INSERT INTO Tb_Factor_Causa_Incidente VALUES('4.4 Rutina, monotonía de trabajos no importante','Factor Personal','ACT')</v>
      </c>
      <c r="U44" s="110"/>
      <c r="X44" s="107" t="s">
        <v>501</v>
      </c>
      <c r="Z44" s="113" t="s">
        <v>518</v>
      </c>
    </row>
    <row r="45" spans="1:28" x14ac:dyDescent="0.35">
      <c r="C45" s="75">
        <v>17</v>
      </c>
      <c r="D45" s="135" t="s">
        <v>651</v>
      </c>
      <c r="F45" s="108" t="s">
        <v>13</v>
      </c>
      <c r="G45" s="88">
        <v>4.5</v>
      </c>
      <c r="H45" s="67" t="s">
        <v>180</v>
      </c>
      <c r="I45" s="89"/>
      <c r="J45" s="89"/>
      <c r="K45" s="108" t="s">
        <v>13</v>
      </c>
      <c r="L45" s="108"/>
      <c r="M45" s="82">
        <v>4.3</v>
      </c>
      <c r="N45" s="83" t="s">
        <v>175</v>
      </c>
      <c r="O45" s="90"/>
      <c r="P45" s="70"/>
      <c r="Q45" s="70"/>
      <c r="R45" s="142"/>
      <c r="S45" s="142"/>
      <c r="T45" s="148" t="str">
        <f t="shared" si="0"/>
        <v>INSERT INTO Tb_Factor_Causa_Incidente VALUES('4.5 Demanda extrema de concentración/percepción','Factor Personal','ACT')</v>
      </c>
      <c r="U45" s="110"/>
      <c r="X45" s="107" t="s">
        <v>71</v>
      </c>
      <c r="Z45" s="113" t="s">
        <v>519</v>
      </c>
      <c r="AB45" s="56" t="s">
        <v>672</v>
      </c>
    </row>
    <row r="46" spans="1:28" x14ac:dyDescent="0.35">
      <c r="C46" s="75">
        <v>18</v>
      </c>
      <c r="D46" s="135" t="s">
        <v>652</v>
      </c>
      <c r="F46" s="108" t="s">
        <v>13</v>
      </c>
      <c r="G46" s="88">
        <v>4.7</v>
      </c>
      <c r="H46" s="67" t="s">
        <v>183</v>
      </c>
      <c r="I46" s="89"/>
      <c r="J46" s="89"/>
      <c r="K46" s="108" t="s">
        <v>13</v>
      </c>
      <c r="L46" s="108"/>
      <c r="M46" s="82">
        <v>4.4000000000000004</v>
      </c>
      <c r="N46" s="83" t="s">
        <v>179</v>
      </c>
      <c r="O46" s="90"/>
      <c r="P46" s="70"/>
      <c r="Q46" s="70"/>
      <c r="R46" s="142"/>
      <c r="S46" s="142"/>
      <c r="T46" s="148" t="str">
        <f t="shared" si="0"/>
        <v>INSERT INTO Tb_Factor_Causa_Incidente VALUES('4.7 Direcciones y demandas confusas','Factor Personal','ACT')</v>
      </c>
      <c r="U46" s="110"/>
      <c r="X46" s="107" t="s">
        <v>484</v>
      </c>
      <c r="Z46" s="113" t="s">
        <v>520</v>
      </c>
      <c r="AB46" s="101" t="s">
        <v>680</v>
      </c>
    </row>
    <row r="47" spans="1:28" x14ac:dyDescent="0.35">
      <c r="C47" s="75">
        <v>19</v>
      </c>
      <c r="D47" s="135" t="s">
        <v>653</v>
      </c>
      <c r="F47" s="108" t="s">
        <v>13</v>
      </c>
      <c r="G47" s="88">
        <v>4.8</v>
      </c>
      <c r="H47" s="67" t="s">
        <v>187</v>
      </c>
      <c r="I47" s="89"/>
      <c r="J47" s="89"/>
      <c r="K47" s="108" t="s">
        <v>13</v>
      </c>
      <c r="L47" s="108"/>
      <c r="M47" s="82">
        <v>4.5</v>
      </c>
      <c r="N47" s="83" t="s">
        <v>182</v>
      </c>
      <c r="O47" s="90"/>
      <c r="P47" s="70"/>
      <c r="Q47" s="70"/>
      <c r="R47" s="142"/>
      <c r="S47" s="142"/>
      <c r="T47" s="148" t="str">
        <f t="shared" si="0"/>
        <v>INSERT INTO Tb_Factor_Causa_Incidente VALUES('4.8 Peticiones conflictivas','Factor Personal','ACT')</v>
      </c>
      <c r="U47" s="110"/>
      <c r="Z47" s="113" t="s">
        <v>521</v>
      </c>
      <c r="AB47" s="98" t="s">
        <v>673</v>
      </c>
    </row>
    <row r="48" spans="1:28" x14ac:dyDescent="0.35">
      <c r="C48" s="75">
        <v>20</v>
      </c>
      <c r="D48" s="135" t="s">
        <v>654</v>
      </c>
      <c r="F48" s="108" t="s">
        <v>13</v>
      </c>
      <c r="G48" s="88">
        <v>4.9000000000000004</v>
      </c>
      <c r="H48" s="67" t="s">
        <v>191</v>
      </c>
      <c r="I48" s="89"/>
      <c r="J48" s="89"/>
      <c r="K48" s="108" t="s">
        <v>13</v>
      </c>
      <c r="L48" s="108"/>
      <c r="T48" s="148" t="str">
        <f t="shared" si="0"/>
        <v>INSERT INTO Tb_Factor_Causa_Incidente VALUES('4.9 Preocupación por problemas','Factor Personal','ACT')</v>
      </c>
      <c r="U48" s="110"/>
      <c r="X48" s="56" t="s">
        <v>696</v>
      </c>
      <c r="Z48" s="113" t="s">
        <v>522</v>
      </c>
      <c r="AB48" s="101" t="s">
        <v>674</v>
      </c>
    </row>
    <row r="49" spans="3:28" ht="15" thickBot="1" x14ac:dyDescent="0.4">
      <c r="C49" s="75">
        <v>21</v>
      </c>
      <c r="D49" s="135" t="s">
        <v>655</v>
      </c>
      <c r="F49" s="108" t="s">
        <v>13</v>
      </c>
      <c r="G49" s="102">
        <v>4.0999999999999996</v>
      </c>
      <c r="H49" s="67" t="s">
        <v>195</v>
      </c>
      <c r="I49" s="89"/>
      <c r="J49" s="89"/>
      <c r="K49" s="108" t="s">
        <v>13</v>
      </c>
      <c r="L49" s="108"/>
      <c r="M49" s="80">
        <v>5</v>
      </c>
      <c r="N49" s="58" t="s">
        <v>186</v>
      </c>
      <c r="O49" s="64" t="s">
        <v>460</v>
      </c>
      <c r="P49" s="65" t="s">
        <v>461</v>
      </c>
      <c r="Q49" s="65" t="s">
        <v>462</v>
      </c>
      <c r="R49" s="142"/>
      <c r="S49" s="142"/>
      <c r="T49" s="148" t="str">
        <f t="shared" si="0"/>
        <v>INSERT INTO Tb_Factor_Causa_Incidente VALUES('4.10 Frustración','Factor Personal','ACT')</v>
      </c>
      <c r="U49" s="110"/>
      <c r="X49" s="107" t="s">
        <v>697</v>
      </c>
      <c r="Z49" s="113" t="s">
        <v>523</v>
      </c>
      <c r="AB49" s="101" t="s">
        <v>675</v>
      </c>
    </row>
    <row r="50" spans="3:28" x14ac:dyDescent="0.35">
      <c r="F50" s="108" t="s">
        <v>13</v>
      </c>
      <c r="G50" s="88">
        <v>4.1100000000000003</v>
      </c>
      <c r="H50" s="67" t="s">
        <v>197</v>
      </c>
      <c r="I50" s="89"/>
      <c r="J50" s="89"/>
      <c r="K50" s="108" t="s">
        <v>13</v>
      </c>
      <c r="L50" s="108"/>
      <c r="M50" s="82">
        <v>5.0999999999999996</v>
      </c>
      <c r="N50" s="83" t="s">
        <v>190</v>
      </c>
      <c r="O50" s="70"/>
      <c r="P50" s="70"/>
      <c r="Q50" s="70"/>
      <c r="R50" s="142"/>
      <c r="S50" s="142"/>
      <c r="T50" s="148" t="str">
        <f t="shared" si="0"/>
        <v>INSERT INTO Tb_Factor_Causa_Incidente VALUES('4.11 Enfermedad mental','Factor Personal','ACT')</v>
      </c>
      <c r="U50" s="110"/>
      <c r="X50" s="107" t="s">
        <v>698</v>
      </c>
      <c r="Z50" s="113" t="s">
        <v>524</v>
      </c>
      <c r="AB50" s="101" t="s">
        <v>676</v>
      </c>
    </row>
    <row r="51" spans="3:28" x14ac:dyDescent="0.35">
      <c r="F51" s="108" t="s">
        <v>13</v>
      </c>
      <c r="G51" s="77">
        <v>5</v>
      </c>
      <c r="H51" s="78" t="s">
        <v>202</v>
      </c>
      <c r="I51" s="89"/>
      <c r="J51" s="89"/>
      <c r="K51" s="108" t="s">
        <v>13</v>
      </c>
      <c r="L51" s="108"/>
      <c r="M51" s="82">
        <v>5.2</v>
      </c>
      <c r="N51" s="83" t="s">
        <v>194</v>
      </c>
      <c r="O51" s="70"/>
      <c r="P51" s="70"/>
      <c r="Q51" s="70"/>
      <c r="R51" s="142"/>
      <c r="S51" s="142"/>
      <c r="T51" s="148" t="str">
        <f t="shared" si="0"/>
        <v>INSERT INTO Tb_Factor_Causa_Incidente VALUES('5. Falta de conocimiento','Factor Personal','ACT')</v>
      </c>
      <c r="U51" s="110"/>
      <c r="X51" s="107" t="s">
        <v>573</v>
      </c>
      <c r="Z51" s="113" t="s">
        <v>525</v>
      </c>
      <c r="AB51" s="101" t="s">
        <v>677</v>
      </c>
    </row>
    <row r="52" spans="3:28" x14ac:dyDescent="0.35">
      <c r="F52" s="108" t="s">
        <v>13</v>
      </c>
      <c r="G52" s="88">
        <v>5.0999999999999996</v>
      </c>
      <c r="H52" s="67" t="s">
        <v>204</v>
      </c>
      <c r="I52" s="89"/>
      <c r="J52" s="89"/>
      <c r="K52" s="108" t="s">
        <v>13</v>
      </c>
      <c r="L52" s="108"/>
      <c r="M52" s="82">
        <v>5.3</v>
      </c>
      <c r="N52" s="83" t="s">
        <v>196</v>
      </c>
      <c r="O52" s="70"/>
      <c r="P52" s="70"/>
      <c r="Q52" s="70"/>
      <c r="R52" s="142"/>
      <c r="S52" s="142"/>
      <c r="T52" s="148" t="str">
        <f t="shared" si="0"/>
        <v>INSERT INTO Tb_Factor_Causa_Incidente VALUES('5.1 Falta de experiencia','Factor Personal','ACT')</v>
      </c>
      <c r="U52" s="110"/>
      <c r="X52" s="107"/>
      <c r="Z52" s="113" t="s">
        <v>526</v>
      </c>
      <c r="AB52" s="98" t="s">
        <v>678</v>
      </c>
    </row>
    <row r="53" spans="3:28" x14ac:dyDescent="0.35">
      <c r="F53" s="108" t="s">
        <v>13</v>
      </c>
      <c r="G53" s="88">
        <v>5.2</v>
      </c>
      <c r="H53" s="67" t="s">
        <v>207</v>
      </c>
      <c r="I53" s="79"/>
      <c r="J53" s="79"/>
      <c r="K53" s="108" t="s">
        <v>13</v>
      </c>
      <c r="L53" s="108"/>
      <c r="M53" s="82">
        <v>5.4</v>
      </c>
      <c r="N53" s="83" t="s">
        <v>199</v>
      </c>
      <c r="O53" s="70"/>
      <c r="P53" s="70"/>
      <c r="Q53" s="70"/>
      <c r="R53" s="142"/>
      <c r="S53" s="142"/>
      <c r="T53" s="148" t="str">
        <f t="shared" si="0"/>
        <v>INSERT INTO Tb_Factor_Causa_Incidente VALUES('5.2 Orientación deficiente','Factor Personal','ACT')</v>
      </c>
      <c r="U53" s="110"/>
      <c r="Z53" s="113" t="s">
        <v>527</v>
      </c>
      <c r="AB53" s="101" t="s">
        <v>679</v>
      </c>
    </row>
    <row r="54" spans="3:28" x14ac:dyDescent="0.35">
      <c r="F54" s="108" t="s">
        <v>13</v>
      </c>
      <c r="G54" s="88">
        <v>5.3</v>
      </c>
      <c r="H54" s="67" t="s">
        <v>209</v>
      </c>
      <c r="I54" s="89"/>
      <c r="J54" s="89"/>
      <c r="K54" s="108" t="s">
        <v>13</v>
      </c>
      <c r="L54" s="108"/>
      <c r="M54" s="82">
        <v>5.5</v>
      </c>
      <c r="N54" s="83" t="s">
        <v>201</v>
      </c>
      <c r="O54" s="70"/>
      <c r="P54" s="70"/>
      <c r="Q54" s="70"/>
      <c r="R54" s="142"/>
      <c r="S54" s="142"/>
      <c r="T54" s="148" t="str">
        <f t="shared" si="0"/>
        <v>INSERT INTO Tb_Factor_Causa_Incidente VALUES('5.3 Adestramiento inicial inadecuado','Factor Personal','ACT')</v>
      </c>
      <c r="U54" s="110"/>
      <c r="Z54" s="113" t="s">
        <v>528</v>
      </c>
      <c r="AB54" s="101"/>
    </row>
    <row r="55" spans="3:28" x14ac:dyDescent="0.35">
      <c r="F55" s="108" t="s">
        <v>13</v>
      </c>
      <c r="G55" s="88">
        <v>5.4</v>
      </c>
      <c r="H55" s="67" t="s">
        <v>212</v>
      </c>
      <c r="I55" s="89"/>
      <c r="J55" s="89"/>
      <c r="K55" s="108" t="s">
        <v>13</v>
      </c>
      <c r="L55" s="108"/>
      <c r="M55" s="108"/>
      <c r="N55" s="108"/>
      <c r="O55" s="108"/>
      <c r="P55" s="108"/>
      <c r="Q55" s="108"/>
      <c r="R55" s="109"/>
      <c r="S55" s="109"/>
      <c r="T55" s="148" t="str">
        <f t="shared" si="0"/>
        <v>INSERT INTO Tb_Factor_Causa_Incidente VALUES('5.4 Adiestramiento actualizado deficiente','Factor Personal','ACT')</v>
      </c>
      <c r="U55" s="108"/>
      <c r="Z55" s="113" t="s">
        <v>529</v>
      </c>
    </row>
    <row r="56" spans="3:28" ht="15" thickBot="1" x14ac:dyDescent="0.4">
      <c r="F56" s="108" t="s">
        <v>13</v>
      </c>
      <c r="G56" s="88">
        <v>5.5</v>
      </c>
      <c r="H56" s="67" t="s">
        <v>215</v>
      </c>
      <c r="I56" s="89"/>
      <c r="J56" s="89"/>
      <c r="K56" s="108" t="s">
        <v>13</v>
      </c>
      <c r="L56" s="108"/>
      <c r="M56" s="80">
        <v>6</v>
      </c>
      <c r="N56" s="58" t="s">
        <v>206</v>
      </c>
      <c r="O56" s="64" t="s">
        <v>460</v>
      </c>
      <c r="P56" s="65" t="s">
        <v>461</v>
      </c>
      <c r="Q56" s="65" t="s">
        <v>462</v>
      </c>
      <c r="R56" s="142"/>
      <c r="S56" s="142"/>
      <c r="T56" s="148" t="str">
        <f t="shared" si="0"/>
        <v>INSERT INTO Tb_Factor_Causa_Incidente VALUES('5.5 Direcciones mal entendidas','Factor Personal','ACT')</v>
      </c>
      <c r="U56" s="110"/>
      <c r="Z56" s="113" t="s">
        <v>530</v>
      </c>
      <c r="AB56" s="56" t="s">
        <v>685</v>
      </c>
    </row>
    <row r="57" spans="3:28" x14ac:dyDescent="0.35">
      <c r="F57" s="108" t="s">
        <v>13</v>
      </c>
      <c r="G57" s="77">
        <v>6</v>
      </c>
      <c r="H57" s="78" t="s">
        <v>219</v>
      </c>
      <c r="I57" s="89"/>
      <c r="J57" s="89"/>
      <c r="K57" s="108" t="s">
        <v>13</v>
      </c>
      <c r="L57" s="108"/>
      <c r="M57" s="82">
        <v>6.1</v>
      </c>
      <c r="N57" s="83" t="s">
        <v>57</v>
      </c>
      <c r="O57" s="70"/>
      <c r="P57" s="70"/>
      <c r="Q57" s="70"/>
      <c r="R57" s="142"/>
      <c r="S57" s="142"/>
      <c r="T57" s="148" t="str">
        <f t="shared" si="0"/>
        <v>INSERT INTO Tb_Factor_Causa_Incidente VALUES('6. Falta de habilidad','Factor Personal','ACT')</v>
      </c>
      <c r="U57" s="110"/>
      <c r="Z57" s="113" t="s">
        <v>531</v>
      </c>
      <c r="AB57" s="101" t="s">
        <v>686</v>
      </c>
    </row>
    <row r="58" spans="3:28" x14ac:dyDescent="0.35">
      <c r="F58" s="108" t="s">
        <v>13</v>
      </c>
      <c r="G58" s="88">
        <v>6.1</v>
      </c>
      <c r="H58" s="67" t="s">
        <v>222</v>
      </c>
      <c r="I58" s="89"/>
      <c r="J58" s="89"/>
      <c r="K58" s="108" t="s">
        <v>13</v>
      </c>
      <c r="L58" s="108"/>
      <c r="M58" s="82">
        <v>6.2</v>
      </c>
      <c r="N58" s="83" t="s">
        <v>211</v>
      </c>
      <c r="O58" s="70"/>
      <c r="P58" s="70"/>
      <c r="Q58" s="70"/>
      <c r="R58" s="142"/>
      <c r="S58" s="142"/>
      <c r="T58" s="148" t="str">
        <f t="shared" si="0"/>
        <v>INSERT INTO Tb_Factor_Causa_Incidente VALUES('6.1 Instrucción inicial deficiente','Factor Personal','ACT')</v>
      </c>
      <c r="U58" s="110"/>
      <c r="Z58" s="113" t="s">
        <v>532</v>
      </c>
      <c r="AB58" s="98" t="s">
        <v>687</v>
      </c>
    </row>
    <row r="59" spans="3:28" x14ac:dyDescent="0.35">
      <c r="F59" s="108" t="s">
        <v>13</v>
      </c>
      <c r="G59" s="88">
        <v>6.2</v>
      </c>
      <c r="H59" s="67" t="s">
        <v>224</v>
      </c>
      <c r="I59" s="89"/>
      <c r="J59" s="89"/>
      <c r="K59" s="108" t="s">
        <v>13</v>
      </c>
      <c r="L59" s="108"/>
      <c r="M59" s="82">
        <v>6.3</v>
      </c>
      <c r="N59" s="83" t="s">
        <v>214</v>
      </c>
      <c r="O59" s="70"/>
      <c r="P59" s="70"/>
      <c r="Q59" s="70"/>
      <c r="R59" s="142"/>
      <c r="S59" s="142"/>
      <c r="T59" s="148" t="str">
        <f t="shared" si="0"/>
        <v>INSERT INTO Tb_Factor_Causa_Incidente VALUES('6.2 Práctica insuficiente','Factor Personal','ACT')</v>
      </c>
      <c r="U59" s="110"/>
      <c r="Z59" s="113" t="s">
        <v>533</v>
      </c>
    </row>
    <row r="60" spans="3:28" x14ac:dyDescent="0.35">
      <c r="F60" s="108" t="s">
        <v>13</v>
      </c>
      <c r="G60" s="88">
        <v>6.3</v>
      </c>
      <c r="H60" s="67" t="s">
        <v>227</v>
      </c>
      <c r="I60" s="89"/>
      <c r="J60" s="89"/>
      <c r="K60" s="108" t="s">
        <v>13</v>
      </c>
      <c r="L60" s="108"/>
      <c r="M60" s="82">
        <v>6.4</v>
      </c>
      <c r="N60" s="83" t="s">
        <v>217</v>
      </c>
      <c r="O60" s="70"/>
      <c r="P60" s="70"/>
      <c r="Q60" s="70"/>
      <c r="R60" s="142"/>
      <c r="S60" s="142"/>
      <c r="T60" s="148" t="str">
        <f t="shared" si="0"/>
        <v>INSERT INTO Tb_Factor_Causa_Incidente VALUES('6.3 Ejecución poco frecuente','Factor Personal','ACT')</v>
      </c>
      <c r="U60" s="110"/>
      <c r="Z60" s="113" t="s">
        <v>534</v>
      </c>
    </row>
    <row r="61" spans="3:28" x14ac:dyDescent="0.35">
      <c r="F61" s="108" t="s">
        <v>13</v>
      </c>
      <c r="G61" s="88">
        <v>6.4</v>
      </c>
      <c r="H61" s="67" t="s">
        <v>231</v>
      </c>
      <c r="I61" s="89"/>
      <c r="J61" s="89"/>
      <c r="K61" s="108" t="s">
        <v>13</v>
      </c>
      <c r="L61" s="108"/>
      <c r="M61" s="82">
        <v>6.5</v>
      </c>
      <c r="N61" s="83" t="s">
        <v>218</v>
      </c>
      <c r="O61" s="70"/>
      <c r="P61" s="70"/>
      <c r="Q61" s="70"/>
      <c r="R61" s="142"/>
      <c r="S61" s="142"/>
      <c r="T61" s="148" t="str">
        <f t="shared" si="0"/>
        <v>INSERT INTO Tb_Factor_Causa_Incidente VALUES('6.4 Falta de preparación/asesoramiento','Factor Personal','ACT')</v>
      </c>
      <c r="U61" s="110"/>
      <c r="Z61" s="113" t="s">
        <v>535</v>
      </c>
    </row>
    <row r="62" spans="3:28" x14ac:dyDescent="0.35">
      <c r="F62" s="108" t="s">
        <v>13</v>
      </c>
      <c r="G62" s="88">
        <v>6.5</v>
      </c>
      <c r="H62" s="67" t="s">
        <v>234</v>
      </c>
      <c r="I62" s="79"/>
      <c r="J62" s="79"/>
      <c r="K62" s="108" t="s">
        <v>13</v>
      </c>
      <c r="L62" s="108"/>
      <c r="M62" s="82">
        <v>6.6</v>
      </c>
      <c r="N62" s="83" t="s">
        <v>221</v>
      </c>
      <c r="O62" s="70"/>
      <c r="P62" s="70"/>
      <c r="Q62" s="70"/>
      <c r="R62" s="142"/>
      <c r="S62" s="142"/>
      <c r="T62" s="148" t="str">
        <f t="shared" si="0"/>
        <v>INSERT INTO Tb_Factor_Causa_Incidente VALUES('6.5 Revisión inadecuada de instrucción','Factor Personal','ACT')</v>
      </c>
      <c r="U62" s="110"/>
      <c r="Z62" s="113" t="s">
        <v>536</v>
      </c>
    </row>
    <row r="63" spans="3:28" x14ac:dyDescent="0.35">
      <c r="F63" s="108" t="s">
        <v>13</v>
      </c>
      <c r="G63" s="77">
        <v>7</v>
      </c>
      <c r="H63" s="78" t="s">
        <v>239</v>
      </c>
      <c r="I63" s="89"/>
      <c r="J63" s="89"/>
      <c r="K63" s="108" t="s">
        <v>13</v>
      </c>
      <c r="L63" s="108"/>
      <c r="M63" s="108" t="s">
        <v>13</v>
      </c>
      <c r="N63" s="108" t="s">
        <v>13</v>
      </c>
      <c r="O63" s="108" t="s">
        <v>13</v>
      </c>
      <c r="P63" s="108" t="s">
        <v>13</v>
      </c>
      <c r="Q63" s="108" t="s">
        <v>13</v>
      </c>
      <c r="R63" s="109"/>
      <c r="S63" s="109"/>
      <c r="T63" s="148" t="str">
        <f t="shared" si="0"/>
        <v>INSERT INTO Tb_Factor_Causa_Incidente VALUES('7. Motivación Inadecuada','Factor Personal','ACT')</v>
      </c>
      <c r="U63" s="110"/>
      <c r="Z63" s="113" t="s">
        <v>537</v>
      </c>
    </row>
    <row r="64" spans="3:28" ht="15" thickBot="1" x14ac:dyDescent="0.4">
      <c r="F64" s="108" t="s">
        <v>13</v>
      </c>
      <c r="G64" s="88">
        <v>7.1</v>
      </c>
      <c r="H64" s="67" t="s">
        <v>243</v>
      </c>
      <c r="I64" s="89"/>
      <c r="J64" s="89"/>
      <c r="K64" s="108" t="s">
        <v>13</v>
      </c>
      <c r="L64" s="108"/>
      <c r="M64" s="80">
        <v>7</v>
      </c>
      <c r="N64" s="58" t="s">
        <v>230</v>
      </c>
      <c r="O64" s="64" t="s">
        <v>460</v>
      </c>
      <c r="P64" s="65" t="s">
        <v>461</v>
      </c>
      <c r="Q64" s="65" t="s">
        <v>462</v>
      </c>
      <c r="R64" s="142"/>
      <c r="S64" s="142"/>
      <c r="T64" s="148" t="str">
        <f t="shared" si="0"/>
        <v>INSERT INTO Tb_Factor_Causa_Incidente VALUES('7.1 Premiación (tolerancia) del desempeño inadecuado','Factor Personal','ACT')</v>
      </c>
      <c r="U64" s="110"/>
      <c r="Z64" s="113" t="s">
        <v>538</v>
      </c>
    </row>
    <row r="65" spans="6:26" x14ac:dyDescent="0.35">
      <c r="F65" s="108" t="s">
        <v>13</v>
      </c>
      <c r="G65" s="88">
        <v>7.2</v>
      </c>
      <c r="H65" s="67" t="s">
        <v>247</v>
      </c>
      <c r="I65" s="89"/>
      <c r="J65" s="89"/>
      <c r="K65" s="108" t="s">
        <v>13</v>
      </c>
      <c r="L65" s="108"/>
      <c r="M65" s="82">
        <v>7.1</v>
      </c>
      <c r="N65" s="83" t="s">
        <v>57</v>
      </c>
      <c r="O65" s="70"/>
      <c r="P65" s="70"/>
      <c r="Q65" s="70"/>
      <c r="R65" s="142"/>
      <c r="S65" s="142"/>
      <c r="T65" s="148" t="str">
        <f t="shared" si="0"/>
        <v>INSERT INTO Tb_Factor_Causa_Incidente VALUES('7.2 Castigo del desempeño adecuado','Factor Personal','ACT')</v>
      </c>
      <c r="U65" s="110"/>
      <c r="Z65" s="113" t="s">
        <v>539</v>
      </c>
    </row>
    <row r="66" spans="6:26" x14ac:dyDescent="0.35">
      <c r="F66" s="108" t="s">
        <v>13</v>
      </c>
      <c r="G66" s="88">
        <v>7.3</v>
      </c>
      <c r="H66" s="67" t="s">
        <v>251</v>
      </c>
      <c r="I66" s="89"/>
      <c r="J66" s="89"/>
      <c r="K66" s="108" t="s">
        <v>13</v>
      </c>
      <c r="L66" s="108"/>
      <c r="M66" s="82">
        <v>7.2</v>
      </c>
      <c r="N66" s="83" t="s">
        <v>237</v>
      </c>
      <c r="O66" s="70"/>
      <c r="P66" s="70"/>
      <c r="Q66" s="70"/>
      <c r="R66" s="142"/>
      <c r="S66" s="142"/>
      <c r="T66" s="148" t="str">
        <f t="shared" si="0"/>
        <v>INSERT INTO Tb_Factor_Causa_Incidente VALUES('7.3 Falta de incentivos','Factor Personal','ACT')</v>
      </c>
      <c r="U66" s="110"/>
      <c r="Z66" s="113" t="s">
        <v>540</v>
      </c>
    </row>
    <row r="67" spans="6:26" x14ac:dyDescent="0.35">
      <c r="F67" s="108" t="s">
        <v>13</v>
      </c>
      <c r="G67" s="88">
        <v>7.4</v>
      </c>
      <c r="H67" s="67" t="s">
        <v>255</v>
      </c>
      <c r="I67" s="89"/>
      <c r="J67" s="89"/>
      <c r="K67" s="108" t="s">
        <v>13</v>
      </c>
      <c r="L67" s="108"/>
      <c r="M67" s="82">
        <v>7.3</v>
      </c>
      <c r="N67" s="83" t="s">
        <v>238</v>
      </c>
      <c r="O67" s="70"/>
      <c r="P67" s="70"/>
      <c r="Q67" s="70"/>
      <c r="R67" s="142"/>
      <c r="S67" s="142"/>
      <c r="T67" s="148" t="str">
        <f t="shared" si="0"/>
        <v>INSERT INTO Tb_Factor_Causa_Incidente VALUES('7.4 Frustración excesiva','Factor Personal','ACT')</v>
      </c>
      <c r="U67" s="110"/>
      <c r="Z67" s="113" t="s">
        <v>541</v>
      </c>
    </row>
    <row r="68" spans="6:26" x14ac:dyDescent="0.35">
      <c r="F68" s="108" t="s">
        <v>13</v>
      </c>
      <c r="G68" s="88">
        <v>7.5</v>
      </c>
      <c r="H68" s="67" t="s">
        <v>258</v>
      </c>
      <c r="I68" s="89"/>
      <c r="J68" s="89"/>
      <c r="K68" s="108" t="s">
        <v>13</v>
      </c>
      <c r="L68" s="108"/>
      <c r="M68" s="82">
        <v>7.4</v>
      </c>
      <c r="N68" s="83" t="s">
        <v>242</v>
      </c>
      <c r="O68" s="70"/>
      <c r="P68" s="70"/>
      <c r="Q68" s="70"/>
      <c r="R68" s="142"/>
      <c r="S68" s="142"/>
      <c r="T68" s="148" t="str">
        <f t="shared" si="0"/>
        <v>INSERT INTO Tb_Factor_Causa_Incidente VALUES('7.5 Agresión inapropiada','Factor Personal','ACT')</v>
      </c>
      <c r="U68" s="110"/>
      <c r="Z68" s="113" t="s">
        <v>542</v>
      </c>
    </row>
    <row r="69" spans="6:26" x14ac:dyDescent="0.35">
      <c r="F69" s="108" t="s">
        <v>13</v>
      </c>
      <c r="G69" s="88">
        <v>7.6</v>
      </c>
      <c r="H69" s="67" t="s">
        <v>261</v>
      </c>
      <c r="I69" s="89"/>
      <c r="J69" s="89"/>
      <c r="K69" s="108" t="s">
        <v>13</v>
      </c>
      <c r="L69" s="108"/>
      <c r="M69" s="82">
        <v>7.5</v>
      </c>
      <c r="N69" s="83" t="s">
        <v>246</v>
      </c>
      <c r="O69" s="70"/>
      <c r="P69" s="70"/>
      <c r="Q69" s="70"/>
      <c r="R69" s="142"/>
      <c r="S69" s="142"/>
      <c r="T69" s="148" t="str">
        <f t="shared" ref="T69:T77" si="1">_xlfn.CONCAT($R$4,H69,CHAR(39),$S$4)</f>
        <v>INSERT INTO Tb_Factor_Causa_Incidente VALUES('7.6 Intento inapropiado de ahorrar tiempo o esfuerzo','Factor Personal','ACT')</v>
      </c>
      <c r="U69" s="110"/>
      <c r="Z69" s="113" t="s">
        <v>543</v>
      </c>
    </row>
    <row r="70" spans="6:26" x14ac:dyDescent="0.35">
      <c r="F70" s="108" t="s">
        <v>13</v>
      </c>
      <c r="G70" s="88">
        <v>7.7</v>
      </c>
      <c r="H70" s="67" t="s">
        <v>265</v>
      </c>
      <c r="I70" s="89"/>
      <c r="J70" s="89"/>
      <c r="K70" s="108" t="s">
        <v>13</v>
      </c>
      <c r="L70" s="108"/>
      <c r="M70" s="82">
        <v>7.6</v>
      </c>
      <c r="N70" s="83" t="s">
        <v>250</v>
      </c>
      <c r="O70" s="70"/>
      <c r="P70" s="70"/>
      <c r="Q70" s="70"/>
      <c r="R70" s="142"/>
      <c r="S70" s="142"/>
      <c r="T70" s="148" t="str">
        <f t="shared" si="1"/>
        <v>INSERT INTO Tb_Factor_Causa_Incidente VALUES('7.7 Intento inapropiado de evitar la incomodidad','Factor Personal','ACT')</v>
      </c>
      <c r="U70" s="110"/>
      <c r="Z70" s="113" t="s">
        <v>544</v>
      </c>
    </row>
    <row r="71" spans="6:26" x14ac:dyDescent="0.35">
      <c r="F71" s="108" t="s">
        <v>13</v>
      </c>
      <c r="G71" s="88">
        <v>7.8</v>
      </c>
      <c r="H71" s="67" t="s">
        <v>269</v>
      </c>
      <c r="I71" s="89"/>
      <c r="J71" s="89"/>
      <c r="K71" s="108" t="s">
        <v>13</v>
      </c>
      <c r="L71" s="108"/>
      <c r="M71" s="82">
        <v>7.7</v>
      </c>
      <c r="N71" s="83" t="s">
        <v>254</v>
      </c>
      <c r="O71" s="70"/>
      <c r="P71" s="70"/>
      <c r="Q71" s="70"/>
      <c r="R71" s="142"/>
      <c r="S71" s="142"/>
      <c r="T71" s="148" t="str">
        <f t="shared" si="1"/>
        <v>INSERT INTO Tb_Factor_Causa_Incidente VALUES('7.8 Intento inapropiado de captar la atención','Factor Personal','ACT')</v>
      </c>
      <c r="U71" s="110"/>
      <c r="Z71" s="113" t="s">
        <v>545</v>
      </c>
    </row>
    <row r="72" spans="6:26" x14ac:dyDescent="0.35">
      <c r="F72" s="108" t="s">
        <v>13</v>
      </c>
      <c r="G72" s="88">
        <v>7.9</v>
      </c>
      <c r="H72" s="67" t="s">
        <v>273</v>
      </c>
      <c r="I72" s="89"/>
      <c r="J72" s="89"/>
      <c r="K72" s="108" t="s">
        <v>13</v>
      </c>
      <c r="L72" s="108"/>
      <c r="M72" s="82">
        <v>7.8</v>
      </c>
      <c r="N72" s="83" t="s">
        <v>257</v>
      </c>
      <c r="O72" s="70"/>
      <c r="P72" s="70"/>
      <c r="Q72" s="70"/>
      <c r="R72" s="142"/>
      <c r="S72" s="142"/>
      <c r="T72" s="148" t="str">
        <f t="shared" si="1"/>
        <v>INSERT INTO Tb_Factor_Causa_Incidente VALUES('7.9 Disciplina inadecuada','Factor Personal','ACT')</v>
      </c>
      <c r="U72" s="110"/>
      <c r="Z72" s="113" t="s">
        <v>546</v>
      </c>
    </row>
    <row r="73" spans="6:26" x14ac:dyDescent="0.35">
      <c r="F73" s="108" t="s">
        <v>13</v>
      </c>
      <c r="G73" s="102">
        <v>7.1</v>
      </c>
      <c r="H73" s="67" t="s">
        <v>275</v>
      </c>
      <c r="I73" s="89"/>
      <c r="J73" s="89"/>
      <c r="K73" s="108" t="s">
        <v>13</v>
      </c>
      <c r="L73" s="108"/>
      <c r="M73" s="82">
        <v>7.9</v>
      </c>
      <c r="N73" s="83" t="s">
        <v>260</v>
      </c>
      <c r="O73" s="70"/>
      <c r="P73" s="70"/>
      <c r="Q73" s="70"/>
      <c r="R73" s="142"/>
      <c r="S73" s="142"/>
      <c r="T73" s="148" t="str">
        <f t="shared" si="1"/>
        <v>INSERT INTO Tb_Factor_Causa_Incidente VALUES('7.10 Presión inapropiada de los compañeros','Factor Personal','ACT')</v>
      </c>
    </row>
    <row r="74" spans="6:26" x14ac:dyDescent="0.35">
      <c r="F74" s="108" t="s">
        <v>13</v>
      </c>
      <c r="G74" s="88">
        <v>7.11</v>
      </c>
      <c r="H74" s="67" t="s">
        <v>277</v>
      </c>
      <c r="I74" s="89"/>
      <c r="J74" s="89"/>
      <c r="K74" s="108" t="s">
        <v>13</v>
      </c>
      <c r="L74" s="108"/>
      <c r="M74" s="100">
        <v>7.1</v>
      </c>
      <c r="N74" s="83" t="s">
        <v>264</v>
      </c>
      <c r="O74" s="70"/>
      <c r="P74" s="70"/>
      <c r="Q74" s="70"/>
      <c r="R74" s="142"/>
      <c r="S74" s="142"/>
      <c r="T74" s="148" t="str">
        <f t="shared" si="1"/>
        <v>INSERT INTO Tb_Factor_Causa_Incidente VALUES('7.11 Ejemplo inapropiado de la supervisión','Factor Personal','ACT')</v>
      </c>
      <c r="U74" s="110"/>
    </row>
    <row r="75" spans="6:26" x14ac:dyDescent="0.35">
      <c r="F75" s="108" t="s">
        <v>13</v>
      </c>
      <c r="G75" s="88">
        <v>7.12</v>
      </c>
      <c r="H75" s="67" t="s">
        <v>280</v>
      </c>
      <c r="I75" s="89"/>
      <c r="J75" s="89"/>
      <c r="K75" s="108" t="s">
        <v>13</v>
      </c>
      <c r="L75" s="108"/>
      <c r="M75" s="82">
        <v>7.11</v>
      </c>
      <c r="N75" s="83" t="s">
        <v>268</v>
      </c>
      <c r="O75" s="70"/>
      <c r="P75" s="70"/>
      <c r="Q75" s="70"/>
      <c r="R75" s="142"/>
      <c r="S75" s="142"/>
      <c r="T75" s="148" t="str">
        <f t="shared" si="1"/>
        <v>INSERT INTO Tb_Factor_Causa_Incidente VALUES('7.12 Retroalimentación deficiente del desempeño','Factor Personal','ACT')</v>
      </c>
      <c r="U75" s="110"/>
    </row>
    <row r="76" spans="6:26" x14ac:dyDescent="0.35">
      <c r="F76" s="108" t="s">
        <v>13</v>
      </c>
      <c r="G76" s="88">
        <v>7.13</v>
      </c>
      <c r="H76" s="67" t="s">
        <v>283</v>
      </c>
      <c r="I76" s="89"/>
      <c r="J76" s="89"/>
      <c r="K76" s="108" t="s">
        <v>13</v>
      </c>
      <c r="L76" s="108"/>
      <c r="M76" s="82">
        <v>7.12</v>
      </c>
      <c r="N76" s="83" t="s">
        <v>272</v>
      </c>
      <c r="O76" s="70"/>
      <c r="P76" s="70"/>
      <c r="Q76" s="70"/>
      <c r="R76" s="142"/>
      <c r="S76" s="142"/>
      <c r="T76" s="148" t="str">
        <f t="shared" si="1"/>
        <v>INSERT INTO Tb_Factor_Causa_Incidente VALUES('7.13 Refuerzo deficiente del comportamiento adecuado','Factor Personal','ACT')</v>
      </c>
      <c r="U76" s="110"/>
    </row>
    <row r="77" spans="6:26" x14ac:dyDescent="0.35">
      <c r="F77" s="108" t="s">
        <v>13</v>
      </c>
      <c r="G77" s="88">
        <v>7.14</v>
      </c>
      <c r="H77" s="67" t="s">
        <v>286</v>
      </c>
      <c r="I77" s="89"/>
      <c r="J77" s="89"/>
      <c r="K77" s="108" t="s">
        <v>13</v>
      </c>
      <c r="L77" s="108"/>
      <c r="M77" s="82">
        <v>7.13</v>
      </c>
      <c r="N77" s="83" t="s">
        <v>274</v>
      </c>
      <c r="O77" s="70"/>
      <c r="P77" s="70"/>
      <c r="Q77" s="70"/>
      <c r="R77" s="142"/>
      <c r="S77" s="142"/>
      <c r="T77" s="148" t="str">
        <f t="shared" si="1"/>
        <v>INSERT INTO Tb_Factor_Causa_Incidente VALUES('7.14 Incentivos de producción inapropiados','Factor Personal','ACT')</v>
      </c>
      <c r="U77" s="110"/>
    </row>
    <row r="78" spans="6:26" x14ac:dyDescent="0.35">
      <c r="F78" s="108" t="s">
        <v>13</v>
      </c>
      <c r="G78" s="116"/>
      <c r="H78" s="117" t="s">
        <v>700</v>
      </c>
      <c r="I78" s="89"/>
      <c r="J78" s="89"/>
      <c r="K78" s="108" t="s">
        <v>13</v>
      </c>
      <c r="L78" s="108"/>
      <c r="R78" s="142" t="s">
        <v>704</v>
      </c>
      <c r="S78" s="145" t="s">
        <v>706</v>
      </c>
      <c r="U78" s="110"/>
    </row>
    <row r="79" spans="6:26" ht="15" thickBot="1" x14ac:dyDescent="0.4">
      <c r="F79" s="108" t="s">
        <v>13</v>
      </c>
      <c r="G79" s="118">
        <v>8</v>
      </c>
      <c r="H79" s="78" t="s">
        <v>17</v>
      </c>
      <c r="I79" s="79"/>
      <c r="J79" s="79"/>
      <c r="K79" s="108" t="s">
        <v>13</v>
      </c>
      <c r="L79" s="108"/>
      <c r="M79" s="80">
        <v>8</v>
      </c>
      <c r="N79" s="58" t="s">
        <v>279</v>
      </c>
      <c r="O79" s="64" t="s">
        <v>460</v>
      </c>
      <c r="P79" s="65" t="s">
        <v>461</v>
      </c>
      <c r="Q79" s="65" t="s">
        <v>462</v>
      </c>
      <c r="R79" s="142"/>
      <c r="S79" s="142"/>
      <c r="T79" s="148" t="str">
        <f>_xlfn.CONCAT($R$78,H79,CHAR(39),$S$78)</f>
        <v>INSERT INTO Tb_Factor_Causa_Incidente VALUES('8. Liderazgo y/o Supervisión Inadecuada','Factor Laboral','ACT')</v>
      </c>
      <c r="U79" s="108" t="s">
        <v>13</v>
      </c>
    </row>
    <row r="80" spans="6:26" x14ac:dyDescent="0.35">
      <c r="F80" s="108" t="s">
        <v>13</v>
      </c>
      <c r="G80" s="75">
        <v>8.1</v>
      </c>
      <c r="H80" s="67" t="s">
        <v>21</v>
      </c>
      <c r="I80" s="89"/>
      <c r="J80" s="89"/>
      <c r="K80" s="108" t="s">
        <v>13</v>
      </c>
      <c r="L80" s="108"/>
      <c r="M80" s="82">
        <v>8.1</v>
      </c>
      <c r="N80" s="83" t="s">
        <v>282</v>
      </c>
      <c r="O80" s="70"/>
      <c r="P80" s="70"/>
      <c r="Q80" s="70"/>
      <c r="R80" s="142"/>
      <c r="S80" s="142"/>
      <c r="T80" s="148" t="str">
        <f t="shared" ref="T80:T143" si="2">_xlfn.CONCAT($R$78,H80,CHAR(39),$S$78)</f>
        <v>INSERT INTO Tb_Factor_Causa_Incidente VALUES('8.1 Relaciones jerárquicas poco claras o conflictiva','Factor Laboral','ACT')</v>
      </c>
      <c r="U80" s="110"/>
    </row>
    <row r="81" spans="6:21" x14ac:dyDescent="0.35">
      <c r="F81" s="108" t="s">
        <v>13</v>
      </c>
      <c r="G81" s="75">
        <v>8.1999999999999993</v>
      </c>
      <c r="H81" s="67" t="s">
        <v>25</v>
      </c>
      <c r="I81" s="89"/>
      <c r="J81" s="89"/>
      <c r="K81" s="108" t="s">
        <v>13</v>
      </c>
      <c r="L81" s="108"/>
      <c r="M81" s="82">
        <v>8.1999999999999993</v>
      </c>
      <c r="N81" s="83" t="s">
        <v>285</v>
      </c>
      <c r="O81" s="70"/>
      <c r="P81" s="70"/>
      <c r="Q81" s="70"/>
      <c r="R81" s="142"/>
      <c r="S81" s="142"/>
      <c r="T81" s="148" t="str">
        <f t="shared" si="2"/>
        <v>INSERT INTO Tb_Factor_Causa_Incidente VALUES('8.2 Asignación de responsabilidad poco clara o conflictiva','Factor Laboral','ACT')</v>
      </c>
      <c r="U81" s="110"/>
    </row>
    <row r="82" spans="6:21" x14ac:dyDescent="0.35">
      <c r="F82" s="108" t="s">
        <v>13</v>
      </c>
      <c r="G82" s="75">
        <v>8.3000000000000007</v>
      </c>
      <c r="H82" s="67" t="s">
        <v>29</v>
      </c>
      <c r="I82" s="89"/>
      <c r="J82" s="89"/>
      <c r="K82" s="108" t="s">
        <v>13</v>
      </c>
      <c r="L82" s="108"/>
      <c r="M82" s="82">
        <v>8.3000000000000007</v>
      </c>
      <c r="N82" s="83" t="s">
        <v>288</v>
      </c>
      <c r="O82" s="70"/>
      <c r="P82" s="70"/>
      <c r="Q82" s="70"/>
      <c r="R82" s="142"/>
      <c r="S82" s="142"/>
      <c r="T82" s="148" t="str">
        <f t="shared" si="2"/>
        <v>INSERT INTO Tb_Factor_Causa_Incidente VALUES('8.3 Delegación insuficiente o inadecuada','Factor Laboral','ACT')</v>
      </c>
      <c r="U82" s="110"/>
    </row>
    <row r="83" spans="6:21" x14ac:dyDescent="0.35">
      <c r="F83" s="108" t="s">
        <v>13</v>
      </c>
      <c r="G83" s="75">
        <v>8.4</v>
      </c>
      <c r="H83" s="67" t="s">
        <v>33</v>
      </c>
      <c r="I83" s="89"/>
      <c r="J83" s="89"/>
      <c r="K83" s="108" t="s">
        <v>13</v>
      </c>
      <c r="L83" s="108"/>
      <c r="M83" s="82">
        <v>8.4</v>
      </c>
      <c r="N83" s="83" t="s">
        <v>290</v>
      </c>
      <c r="O83" s="70"/>
      <c r="P83" s="70"/>
      <c r="Q83" s="70"/>
      <c r="R83" s="142"/>
      <c r="S83" s="142"/>
      <c r="T83" s="148" t="str">
        <f t="shared" si="2"/>
        <v>INSERT INTO Tb_Factor_Causa_Incidente VALUES('8.4 Dar políticas, procedimientos, practicas o pautas de acción inadecuadas','Factor Laboral','ACT')</v>
      </c>
      <c r="U83" s="110"/>
    </row>
    <row r="84" spans="6:21" ht="15" customHeight="1" x14ac:dyDescent="0.35">
      <c r="F84" s="108" t="s">
        <v>13</v>
      </c>
      <c r="G84" s="75">
        <v>8.5</v>
      </c>
      <c r="H84" s="67" t="s">
        <v>37</v>
      </c>
      <c r="I84" s="89"/>
      <c r="J84" s="89"/>
      <c r="K84" s="108" t="s">
        <v>13</v>
      </c>
      <c r="L84" s="108"/>
      <c r="M84" s="82">
        <v>8.5</v>
      </c>
      <c r="N84" s="83" t="s">
        <v>292</v>
      </c>
      <c r="O84" s="70"/>
      <c r="P84" s="70"/>
      <c r="Q84" s="70"/>
      <c r="R84" s="142"/>
      <c r="S84" s="142"/>
      <c r="T84" s="148" t="str">
        <f t="shared" si="2"/>
        <v>INSERT INTO Tb_Factor_Causa_Incidente VALUES('8.5 Dar objetivos, metas o normas contradictorias','Factor Laboral','ACT')</v>
      </c>
      <c r="U84" s="110"/>
    </row>
    <row r="85" spans="6:21" x14ac:dyDescent="0.35">
      <c r="F85" s="108" t="s">
        <v>13</v>
      </c>
      <c r="G85" s="75">
        <v>8.6</v>
      </c>
      <c r="H85" s="67" t="s">
        <v>41</v>
      </c>
      <c r="I85" s="89"/>
      <c r="J85" s="89"/>
      <c r="K85" s="108" t="s">
        <v>13</v>
      </c>
      <c r="L85" s="108"/>
      <c r="M85" s="82">
        <v>8.6</v>
      </c>
      <c r="N85" s="83" t="s">
        <v>294</v>
      </c>
      <c r="O85" s="70"/>
      <c r="P85" s="70"/>
      <c r="Q85" s="70"/>
      <c r="R85" s="142"/>
      <c r="S85" s="142"/>
      <c r="T85" s="148" t="str">
        <f t="shared" si="2"/>
        <v>INSERT INTO Tb_Factor_Causa_Incidente VALUES('8.6 Programación o planificación inadecuada de trabajo','Factor Laboral','ACT')</v>
      </c>
      <c r="U85" s="110"/>
    </row>
    <row r="86" spans="6:21" x14ac:dyDescent="0.35">
      <c r="F86" s="108" t="s">
        <v>13</v>
      </c>
      <c r="G86" s="75">
        <v>8.6999999999999993</v>
      </c>
      <c r="H86" s="67" t="s">
        <v>45</v>
      </c>
      <c r="I86" s="89"/>
      <c r="J86" s="89"/>
      <c r="K86" s="108" t="s">
        <v>13</v>
      </c>
      <c r="L86" s="108"/>
      <c r="M86" s="82">
        <v>8.6999999999999993</v>
      </c>
      <c r="N86" s="83" t="s">
        <v>295</v>
      </c>
      <c r="O86" s="70"/>
      <c r="P86" s="70"/>
      <c r="Q86" s="70"/>
      <c r="R86" s="142"/>
      <c r="S86" s="142"/>
      <c r="T86" s="148" t="str">
        <f t="shared" si="2"/>
        <v>INSERT INTO Tb_Factor_Causa_Incidente VALUES('8.7 Instrucción/orientación y/o preparación deficiente','Factor Laboral','ACT')</v>
      </c>
      <c r="U86" s="110"/>
    </row>
    <row r="87" spans="6:21" x14ac:dyDescent="0.35">
      <c r="F87" s="108" t="s">
        <v>13</v>
      </c>
      <c r="G87" s="75">
        <v>8.8000000000000007</v>
      </c>
      <c r="H87" s="67" t="s">
        <v>50</v>
      </c>
      <c r="I87" s="89"/>
      <c r="J87" s="89"/>
      <c r="K87" s="108" t="s">
        <v>13</v>
      </c>
      <c r="L87" s="108"/>
      <c r="T87" s="148" t="str">
        <f t="shared" si="2"/>
        <v>INSERT INTO Tb_Factor_Causa_Incidente VALUES('8.8 Documentos de referencia, instrucciones y publicaciones de asesoramiento inadecuados a nuestra disposición','Factor Laboral','ACT')</v>
      </c>
      <c r="U87" s="110"/>
    </row>
    <row r="88" spans="6:21" ht="15" thickBot="1" x14ac:dyDescent="0.4">
      <c r="F88" s="108" t="s">
        <v>13</v>
      </c>
      <c r="G88" s="75">
        <v>8.9</v>
      </c>
      <c r="H88" s="67" t="s">
        <v>55</v>
      </c>
      <c r="I88" s="79"/>
      <c r="J88" s="79"/>
      <c r="K88" s="108" t="s">
        <v>13</v>
      </c>
      <c r="L88" s="108"/>
      <c r="M88" s="80">
        <v>9</v>
      </c>
      <c r="N88" s="58" t="s">
        <v>298</v>
      </c>
      <c r="O88" s="64" t="s">
        <v>460</v>
      </c>
      <c r="P88" s="65" t="s">
        <v>461</v>
      </c>
      <c r="Q88" s="65" t="s">
        <v>462</v>
      </c>
      <c r="R88" s="142"/>
      <c r="S88" s="142"/>
      <c r="T88" s="148" t="str">
        <f t="shared" si="2"/>
        <v>INSERT INTO Tb_Factor_Causa_Incidente VALUES('8.9 Identificación y evaluación deficiente de exposiciones a pérdidas','Factor Laboral','ACT')</v>
      </c>
      <c r="U88" s="110"/>
    </row>
    <row r="89" spans="6:21" x14ac:dyDescent="0.35">
      <c r="F89" s="108" t="s">
        <v>13</v>
      </c>
      <c r="G89" s="119">
        <v>8.1</v>
      </c>
      <c r="H89" s="67" t="s">
        <v>61</v>
      </c>
      <c r="I89" s="89"/>
      <c r="J89" s="89"/>
      <c r="K89" s="108" t="s">
        <v>13</v>
      </c>
      <c r="L89" s="108"/>
      <c r="M89" s="82">
        <v>9.1</v>
      </c>
      <c r="N89" s="83" t="s">
        <v>301</v>
      </c>
      <c r="O89" s="70"/>
      <c r="P89" s="70"/>
      <c r="Q89" s="70"/>
      <c r="R89" s="142"/>
      <c r="S89" s="142"/>
      <c r="T89" s="148" t="str">
        <f t="shared" si="2"/>
        <v>INSERT INTO Tb_Factor_Causa_Incidente VALUES('8.10 Conocimiento inadecuado de trabajo de supervisión / administración','Factor Laboral','ACT')</v>
      </c>
      <c r="U89" s="110"/>
    </row>
    <row r="90" spans="6:21" x14ac:dyDescent="0.35">
      <c r="F90" s="108" t="s">
        <v>13</v>
      </c>
      <c r="G90" s="75">
        <v>8.11</v>
      </c>
      <c r="H90" s="67" t="s">
        <v>65</v>
      </c>
      <c r="I90" s="89"/>
      <c r="J90" s="89"/>
      <c r="K90" s="108" t="s">
        <v>13</v>
      </c>
      <c r="L90" s="108"/>
      <c r="M90" s="82">
        <v>9.1999999999999993</v>
      </c>
      <c r="N90" s="83" t="s">
        <v>304</v>
      </c>
      <c r="O90" s="70"/>
      <c r="P90" s="70"/>
      <c r="Q90" s="70"/>
      <c r="R90" s="142"/>
      <c r="S90" s="142"/>
      <c r="T90" s="148" t="str">
        <f t="shared" si="2"/>
        <v>INSERT INTO Tb_Factor_Causa_Incidente VALUES('8.11 Asignación inadecuada del trabajo, a las exigencias de la tarea','Factor Laboral','ACT')</v>
      </c>
      <c r="U90" s="110"/>
    </row>
    <row r="91" spans="6:21" x14ac:dyDescent="0.35">
      <c r="F91" s="108" t="s">
        <v>13</v>
      </c>
      <c r="G91" s="75">
        <v>8.1199999999999992</v>
      </c>
      <c r="H91" s="67" t="s">
        <v>68</v>
      </c>
      <c r="I91" s="89"/>
      <c r="J91" s="89"/>
      <c r="K91" s="108" t="s">
        <v>13</v>
      </c>
      <c r="L91" s="108"/>
      <c r="M91" s="82">
        <v>9.3000000000000007</v>
      </c>
      <c r="N91" s="83" t="s">
        <v>306</v>
      </c>
      <c r="O91" s="70"/>
      <c r="P91" s="70"/>
      <c r="Q91" s="70"/>
      <c r="R91" s="142"/>
      <c r="S91" s="142"/>
      <c r="T91" s="148" t="str">
        <f t="shared" si="2"/>
        <v>INSERT INTO Tb_Factor_Causa_Incidente VALUES('8.12 Medición y evaluación deficiente del desempeño','Factor Laboral','ACT')</v>
      </c>
      <c r="U91" s="110"/>
    </row>
    <row r="92" spans="6:21" x14ac:dyDescent="0.35">
      <c r="F92" s="108" t="s">
        <v>13</v>
      </c>
      <c r="G92" s="118">
        <v>9</v>
      </c>
      <c r="H92" s="78" t="s">
        <v>76</v>
      </c>
      <c r="I92" s="89"/>
      <c r="J92" s="89"/>
      <c r="K92" s="108" t="s">
        <v>13</v>
      </c>
      <c r="L92" s="108"/>
      <c r="M92" s="82">
        <v>9.4</v>
      </c>
      <c r="N92" s="83" t="s">
        <v>309</v>
      </c>
      <c r="O92" s="70"/>
      <c r="P92" s="70"/>
      <c r="Q92" s="70"/>
      <c r="R92" s="142"/>
      <c r="S92" s="142"/>
      <c r="T92" s="148" t="str">
        <f t="shared" si="2"/>
        <v>INSERT INTO Tb_Factor_Causa_Incidente VALUES('9. Ingeniería Inadecuada','Factor Laboral','ACT')</v>
      </c>
      <c r="U92" s="110"/>
    </row>
    <row r="93" spans="6:21" x14ac:dyDescent="0.35">
      <c r="F93" s="108" t="s">
        <v>13</v>
      </c>
      <c r="G93" s="75">
        <v>9.1</v>
      </c>
      <c r="H93" s="67" t="s">
        <v>80</v>
      </c>
      <c r="I93" s="89"/>
      <c r="J93" s="89"/>
      <c r="K93" s="108" t="s">
        <v>13</v>
      </c>
      <c r="L93" s="108"/>
      <c r="M93" s="82">
        <v>9.5</v>
      </c>
      <c r="N93" s="83" t="s">
        <v>312</v>
      </c>
      <c r="O93" s="70"/>
      <c r="P93" s="70"/>
      <c r="Q93" s="70"/>
      <c r="R93" s="142"/>
      <c r="S93" s="142"/>
      <c r="T93" s="148" t="str">
        <f t="shared" si="2"/>
        <v>INSERT INTO Tb_Factor_Causa_Incidente VALUES('9.1 Evaluación inadecuada de las exposiciones a pérdidas','Factor Laboral','ACT')</v>
      </c>
      <c r="U93" s="110"/>
    </row>
    <row r="94" spans="6:21" x14ac:dyDescent="0.35">
      <c r="F94" s="108" t="s">
        <v>13</v>
      </c>
      <c r="G94" s="75">
        <v>9.1999999999999993</v>
      </c>
      <c r="H94" s="67" t="s">
        <v>84</v>
      </c>
      <c r="I94" s="89"/>
      <c r="J94" s="89"/>
      <c r="K94" s="108" t="s">
        <v>13</v>
      </c>
      <c r="L94" s="108"/>
      <c r="T94" s="148" t="str">
        <f t="shared" si="2"/>
        <v>INSERT INTO Tb_Factor_Causa_Incidente VALUES('9.2 Consideración deficiente de factores ergonómicos/humanos','Factor Laboral','ACT')</v>
      </c>
      <c r="U94" s="110"/>
    </row>
    <row r="95" spans="6:21" ht="15" thickBot="1" x14ac:dyDescent="0.4">
      <c r="F95" s="108" t="s">
        <v>13</v>
      </c>
      <c r="G95" s="75">
        <v>9.3000000000000007</v>
      </c>
      <c r="H95" s="67" t="s">
        <v>88</v>
      </c>
      <c r="I95" s="79"/>
      <c r="J95" s="79"/>
      <c r="K95" s="108" t="s">
        <v>13</v>
      </c>
      <c r="L95" s="108"/>
      <c r="M95" s="80">
        <v>10</v>
      </c>
      <c r="N95" s="58" t="s">
        <v>313</v>
      </c>
      <c r="O95" s="64" t="s">
        <v>460</v>
      </c>
      <c r="P95" s="65" t="s">
        <v>461</v>
      </c>
      <c r="Q95" s="65" t="s">
        <v>462</v>
      </c>
      <c r="R95" s="142"/>
      <c r="S95" s="142"/>
      <c r="T95" s="148" t="str">
        <f t="shared" si="2"/>
        <v>INSERT INTO Tb_Factor_Causa_Incidente VALUES('9.3 Estándares y especificaciones y/o criterios de diseño deficiente','Factor Laboral','ACT')</v>
      </c>
      <c r="U95" s="110"/>
    </row>
    <row r="96" spans="6:21" x14ac:dyDescent="0.35">
      <c r="F96" s="108" t="s">
        <v>13</v>
      </c>
      <c r="G96" s="75">
        <v>9.4</v>
      </c>
      <c r="H96" s="67" t="s">
        <v>91</v>
      </c>
      <c r="I96" s="79"/>
      <c r="J96" s="79"/>
      <c r="K96" s="108" t="s">
        <v>13</v>
      </c>
      <c r="L96" s="108"/>
      <c r="M96" s="82">
        <v>10.1</v>
      </c>
      <c r="N96" s="83" t="s">
        <v>57</v>
      </c>
      <c r="O96" s="70"/>
      <c r="P96" s="70"/>
      <c r="Q96" s="70"/>
      <c r="R96" s="142"/>
      <c r="S96" s="142"/>
      <c r="T96" s="148" t="str">
        <f t="shared" si="2"/>
        <v>INSERT INTO Tb_Factor_Causa_Incidente VALUES('9.4 Control inadecuado de la construcción','Factor Laboral','ACT')</v>
      </c>
      <c r="U96" s="110"/>
    </row>
    <row r="97" spans="6:21" x14ac:dyDescent="0.35">
      <c r="F97" s="108" t="s">
        <v>13</v>
      </c>
      <c r="G97" s="75">
        <v>9.5</v>
      </c>
      <c r="H97" s="67" t="s">
        <v>96</v>
      </c>
      <c r="I97" s="93"/>
      <c r="J97" s="93"/>
      <c r="K97" s="108" t="s">
        <v>13</v>
      </c>
      <c r="L97" s="108"/>
      <c r="M97" s="82">
        <v>10.199999999999999</v>
      </c>
      <c r="N97" s="83" t="s">
        <v>314</v>
      </c>
      <c r="O97" s="70"/>
      <c r="P97" s="70"/>
      <c r="Q97" s="70"/>
      <c r="R97" s="142"/>
      <c r="S97" s="142"/>
      <c r="T97" s="148" t="str">
        <f t="shared" si="2"/>
        <v>INSERT INTO Tb_Factor_Causa_Incidente VALUES('9.5 Evaluación inadecuada de condiciones operacionales','Factor Laboral','ACT')</v>
      </c>
      <c r="U97" s="110"/>
    </row>
    <row r="98" spans="6:21" x14ac:dyDescent="0.35">
      <c r="F98" s="108" t="s">
        <v>13</v>
      </c>
      <c r="G98" s="75">
        <v>9.6</v>
      </c>
      <c r="H98" s="67" t="s">
        <v>101</v>
      </c>
      <c r="I98" s="93"/>
      <c r="J98" s="93"/>
      <c r="K98" s="108" t="s">
        <v>13</v>
      </c>
      <c r="L98" s="108"/>
      <c r="M98" s="82">
        <v>10.4</v>
      </c>
      <c r="N98" s="83" t="s">
        <v>315</v>
      </c>
      <c r="O98" s="70"/>
      <c r="P98" s="70"/>
      <c r="Q98" s="70"/>
      <c r="R98" s="142"/>
      <c r="S98" s="142"/>
      <c r="T98" s="148" t="str">
        <f t="shared" si="2"/>
        <v>INSERT INTO Tb_Factor_Causa_Incidente VALUES('9.6 Controles inadecuados','Factor Laboral','ACT')</v>
      </c>
      <c r="U98" s="110"/>
    </row>
    <row r="99" spans="6:21" x14ac:dyDescent="0.35">
      <c r="F99" s="108" t="s">
        <v>13</v>
      </c>
      <c r="G99" s="75">
        <v>9.6999999999999993</v>
      </c>
      <c r="H99" s="67" t="s">
        <v>107</v>
      </c>
      <c r="I99" s="93"/>
      <c r="J99" s="93"/>
      <c r="K99" s="108" t="s">
        <v>13</v>
      </c>
      <c r="L99" s="108"/>
      <c r="M99" s="82">
        <v>10.5</v>
      </c>
      <c r="N99" s="83" t="s">
        <v>316</v>
      </c>
      <c r="O99" s="70"/>
      <c r="P99" s="70"/>
      <c r="Q99" s="70"/>
      <c r="R99" s="142"/>
      <c r="S99" s="142"/>
      <c r="T99" s="148" t="str">
        <f t="shared" si="2"/>
        <v>INSERT INTO Tb_Factor_Causa_Incidente VALUES('9.7 Monitoreo u operación inicial inadecuada','Factor Laboral','ACT')</v>
      </c>
      <c r="U99" s="110"/>
    </row>
    <row r="100" spans="6:21" x14ac:dyDescent="0.35">
      <c r="F100" s="108" t="s">
        <v>13</v>
      </c>
      <c r="G100" s="75">
        <v>9.8000000000000007</v>
      </c>
      <c r="H100" s="67" t="s">
        <v>113</v>
      </c>
      <c r="I100" s="93"/>
      <c r="J100" s="93"/>
      <c r="K100" s="108" t="s">
        <v>13</v>
      </c>
      <c r="L100" s="108"/>
      <c r="T100" s="148" t="str">
        <f t="shared" si="2"/>
        <v>INSERT INTO Tb_Factor_Causa_Incidente VALUES('9.8 Evaluación inadecuada del cambio','Factor Laboral','ACT')</v>
      </c>
      <c r="U100" s="110"/>
    </row>
    <row r="101" spans="6:21" ht="15" thickBot="1" x14ac:dyDescent="0.4">
      <c r="F101" s="108" t="s">
        <v>13</v>
      </c>
      <c r="G101" s="118">
        <v>10</v>
      </c>
      <c r="H101" s="78" t="s">
        <v>122</v>
      </c>
      <c r="I101" s="93"/>
      <c r="J101" s="93"/>
      <c r="K101" s="108" t="s">
        <v>13</v>
      </c>
      <c r="L101" s="108"/>
      <c r="M101" s="80">
        <v>11</v>
      </c>
      <c r="N101" s="58" t="s">
        <v>317</v>
      </c>
      <c r="O101" s="64" t="s">
        <v>460</v>
      </c>
      <c r="P101" s="65" t="s">
        <v>461</v>
      </c>
      <c r="Q101" s="65" t="s">
        <v>462</v>
      </c>
      <c r="R101" s="142"/>
      <c r="S101" s="142"/>
      <c r="T101" s="148" t="str">
        <f t="shared" si="2"/>
        <v>INSERT INTO Tb_Factor_Causa_Incidente VALUES('10. Adquisiciones Inadecuadas','Factor Laboral','ACT')</v>
      </c>
    </row>
    <row r="102" spans="6:21" x14ac:dyDescent="0.35">
      <c r="F102" s="108" t="s">
        <v>13</v>
      </c>
      <c r="G102" s="75">
        <v>10.1</v>
      </c>
      <c r="H102" s="67" t="s">
        <v>124</v>
      </c>
      <c r="I102" s="93"/>
      <c r="J102" s="93"/>
      <c r="K102" s="108" t="s">
        <v>13</v>
      </c>
      <c r="L102" s="108"/>
      <c r="M102" s="82">
        <v>11.1</v>
      </c>
      <c r="N102" s="83" t="s">
        <v>57</v>
      </c>
      <c r="O102" s="70"/>
      <c r="P102" s="70"/>
      <c r="Q102" s="70"/>
      <c r="R102" s="142"/>
      <c r="S102" s="142"/>
      <c r="T102" s="148" t="str">
        <f t="shared" si="2"/>
        <v>INSERT INTO Tb_Factor_Causa_Incidente VALUES('10.1 Especificaciones deficientes de órdenes y pedidos','Factor Laboral','ACT')</v>
      </c>
      <c r="U102" s="110"/>
    </row>
    <row r="103" spans="6:21" x14ac:dyDescent="0.35">
      <c r="F103" s="108" t="s">
        <v>13</v>
      </c>
      <c r="G103" s="75">
        <v>10.199999999999999</v>
      </c>
      <c r="H103" s="67" t="s">
        <v>127</v>
      </c>
      <c r="I103" s="93"/>
      <c r="J103" s="93"/>
      <c r="K103" s="108"/>
      <c r="L103" s="108"/>
      <c r="M103" s="82">
        <v>11.2</v>
      </c>
      <c r="N103" s="83" t="s">
        <v>318</v>
      </c>
      <c r="O103" s="70"/>
      <c r="P103" s="70"/>
      <c r="Q103" s="70"/>
      <c r="R103" s="142"/>
      <c r="S103" s="142"/>
      <c r="T103" s="148" t="str">
        <f t="shared" si="2"/>
        <v>INSERT INTO Tb_Factor_Causa_Incidente VALUES('10.2 Investigación inadecuada del material/equipo','Factor Laboral','ACT')</v>
      </c>
      <c r="U103" s="110"/>
    </row>
    <row r="104" spans="6:21" x14ac:dyDescent="0.35">
      <c r="F104" s="108" t="s">
        <v>13</v>
      </c>
      <c r="G104" s="75">
        <v>10.3</v>
      </c>
      <c r="H104" s="67" t="s">
        <v>130</v>
      </c>
      <c r="I104" s="93"/>
      <c r="J104" s="93"/>
      <c r="K104" s="108"/>
      <c r="L104" s="108"/>
      <c r="M104" s="82">
        <v>11.3</v>
      </c>
      <c r="N104" s="83" t="s">
        <v>319</v>
      </c>
      <c r="O104" s="70"/>
      <c r="P104" s="70"/>
      <c r="Q104" s="70"/>
      <c r="R104" s="142"/>
      <c r="S104" s="142"/>
      <c r="T104" s="148" t="str">
        <f t="shared" si="2"/>
        <v>INSERT INTO Tb_Factor_Causa_Incidente VALUES('10.3 Especificaciones inadecuadas a vendedores','Factor Laboral','ACT')</v>
      </c>
      <c r="U104" s="110"/>
    </row>
    <row r="105" spans="6:21" x14ac:dyDescent="0.35">
      <c r="F105" s="108" t="s">
        <v>13</v>
      </c>
      <c r="G105" s="75">
        <v>10.4</v>
      </c>
      <c r="H105" s="67" t="s">
        <v>132</v>
      </c>
      <c r="I105" s="93"/>
      <c r="J105" s="93"/>
      <c r="K105" s="108"/>
      <c r="L105" s="108"/>
      <c r="T105" s="148" t="str">
        <f t="shared" si="2"/>
        <v>INSERT INTO Tb_Factor_Causa_Incidente VALUES('10.4 Modalidad o ruta de reembarque inadecuada','Factor Laboral','ACT')</v>
      </c>
      <c r="U105" s="110"/>
    </row>
    <row r="106" spans="6:21" ht="15" thickBot="1" x14ac:dyDescent="0.4">
      <c r="F106" s="108" t="s">
        <v>13</v>
      </c>
      <c r="G106" s="75">
        <v>10.5</v>
      </c>
      <c r="H106" s="67" t="s">
        <v>135</v>
      </c>
      <c r="I106" s="93"/>
      <c r="J106" s="93"/>
      <c r="K106" s="108"/>
      <c r="L106" s="108"/>
      <c r="M106" s="80">
        <v>12</v>
      </c>
      <c r="N106" s="58" t="s">
        <v>320</v>
      </c>
      <c r="O106" s="64" t="s">
        <v>460</v>
      </c>
      <c r="P106" s="65" t="s">
        <v>461</v>
      </c>
      <c r="Q106" s="65" t="s">
        <v>462</v>
      </c>
      <c r="R106" s="142"/>
      <c r="S106" s="142"/>
      <c r="T106" s="148" t="str">
        <f t="shared" si="2"/>
        <v>INSERT INTO Tb_Factor_Causa_Incidente VALUES('10.5 Inspección de recepción deficiente','Factor Laboral','ACT')</v>
      </c>
      <c r="U106" s="108"/>
    </row>
    <row r="107" spans="6:21" x14ac:dyDescent="0.35">
      <c r="F107" s="108" t="s">
        <v>13</v>
      </c>
      <c r="G107" s="75">
        <v>10.6</v>
      </c>
      <c r="H107" s="67" t="s">
        <v>138</v>
      </c>
      <c r="I107" s="93"/>
      <c r="J107" s="93"/>
      <c r="K107" s="108"/>
      <c r="L107" s="108"/>
      <c r="M107" s="82">
        <v>12.2</v>
      </c>
      <c r="N107" s="83" t="s">
        <v>321</v>
      </c>
      <c r="O107" s="70"/>
      <c r="P107" s="70"/>
      <c r="Q107" s="70"/>
      <c r="R107" s="142"/>
      <c r="S107" s="142"/>
      <c r="T107" s="148" t="str">
        <f t="shared" si="2"/>
        <v>INSERT INTO Tb_Factor_Causa_Incidente VALUES('10.6 Comunicación inadecuada de información de salud y seguridad','Factor Laboral','ACT')</v>
      </c>
      <c r="U107" s="110"/>
    </row>
    <row r="108" spans="6:21" x14ac:dyDescent="0.35">
      <c r="F108" s="108" t="s">
        <v>13</v>
      </c>
      <c r="G108" s="75">
        <v>10.7</v>
      </c>
      <c r="H108" s="67" t="s">
        <v>141</v>
      </c>
      <c r="I108" s="93"/>
      <c r="J108" s="93"/>
      <c r="K108" s="108"/>
      <c r="L108" s="108"/>
      <c r="M108" s="82">
        <v>12.3</v>
      </c>
      <c r="N108" s="83" t="s">
        <v>322</v>
      </c>
      <c r="O108" s="70"/>
      <c r="P108" s="70"/>
      <c r="Q108" s="70"/>
      <c r="R108" s="142"/>
      <c r="S108" s="142"/>
      <c r="T108" s="148" t="str">
        <f t="shared" si="2"/>
        <v>INSERT INTO Tb_Factor_Causa_Incidente VALUES('10.7 Manejo inadecuado de materiales','Factor Laboral','ACT')</v>
      </c>
      <c r="U108" s="110"/>
    </row>
    <row r="109" spans="6:21" x14ac:dyDescent="0.35">
      <c r="F109" s="108" t="s">
        <v>13</v>
      </c>
      <c r="G109" s="75">
        <v>10.8</v>
      </c>
      <c r="H109" s="67" t="s">
        <v>144</v>
      </c>
      <c r="I109" s="93"/>
      <c r="J109" s="93"/>
      <c r="K109" s="108"/>
      <c r="L109" s="108"/>
      <c r="M109" s="82">
        <v>12.4</v>
      </c>
      <c r="N109" s="83" t="s">
        <v>323</v>
      </c>
      <c r="O109" s="70"/>
      <c r="P109" s="70"/>
      <c r="Q109" s="70"/>
      <c r="R109" s="142"/>
      <c r="S109" s="142"/>
      <c r="T109" s="148" t="str">
        <f t="shared" si="2"/>
        <v>INSERT INTO Tb_Factor_Causa_Incidente VALUES('10.8 Almacenamiento inadecuado de materiales','Factor Laboral','ACT')</v>
      </c>
      <c r="U109" s="110"/>
    </row>
    <row r="110" spans="6:21" x14ac:dyDescent="0.35">
      <c r="F110" s="108" t="s">
        <v>13</v>
      </c>
      <c r="G110" s="75">
        <v>10.9</v>
      </c>
      <c r="H110" s="67" t="s">
        <v>147</v>
      </c>
      <c r="I110" s="93"/>
      <c r="J110" s="93"/>
      <c r="K110" s="108"/>
      <c r="L110" s="108"/>
      <c r="M110" s="82">
        <v>12.5</v>
      </c>
      <c r="N110" s="83" t="s">
        <v>324</v>
      </c>
      <c r="O110" s="70"/>
      <c r="P110" s="70"/>
      <c r="Q110" s="70"/>
      <c r="R110" s="142"/>
      <c r="S110" s="142"/>
      <c r="T110" s="148" t="str">
        <f t="shared" si="2"/>
        <v>INSERT INTO Tb_Factor_Causa_Incidente VALUES('10.9 Transporte inadecuado de materiales','Factor Laboral','ACT')</v>
      </c>
      <c r="U110" s="110"/>
    </row>
    <row r="111" spans="6:21" x14ac:dyDescent="0.35">
      <c r="F111" s="108" t="s">
        <v>13</v>
      </c>
      <c r="G111" s="119">
        <v>10.1</v>
      </c>
      <c r="H111" s="67" t="s">
        <v>150</v>
      </c>
      <c r="I111" s="93"/>
      <c r="J111" s="93"/>
      <c r="K111" s="108"/>
      <c r="L111" s="108"/>
      <c r="M111" s="82">
        <v>12.6</v>
      </c>
      <c r="N111" s="83" t="s">
        <v>325</v>
      </c>
      <c r="O111" s="70"/>
      <c r="P111" s="70"/>
      <c r="Q111" s="70"/>
      <c r="R111" s="142"/>
      <c r="S111" s="142"/>
      <c r="T111" s="148" t="str">
        <f t="shared" si="2"/>
        <v>INSERT INTO Tb_Factor_Causa_Incidente VALUES('10.10 Identificación deficiente de materiales peligrosos','Factor Laboral','ACT')</v>
      </c>
      <c r="U111" s="110"/>
    </row>
    <row r="112" spans="6:21" x14ac:dyDescent="0.35">
      <c r="F112" s="108" t="s">
        <v>13</v>
      </c>
      <c r="G112" s="75">
        <v>10.11</v>
      </c>
      <c r="H112" s="67" t="s">
        <v>153</v>
      </c>
      <c r="I112" s="93"/>
      <c r="J112" s="93"/>
      <c r="K112" s="108"/>
      <c r="L112" s="108"/>
      <c r="M112" s="82">
        <v>12.7</v>
      </c>
      <c r="N112" s="83" t="s">
        <v>326</v>
      </c>
      <c r="O112" s="70"/>
      <c r="P112" s="70"/>
      <c r="Q112" s="70"/>
      <c r="R112" s="142"/>
      <c r="S112" s="142"/>
      <c r="T112" s="148" t="str">
        <f t="shared" si="2"/>
        <v>INSERT INTO Tb_Factor_Causa_Incidente VALUES('10.11 Disposición inadecuada de residuos y desperdicios','Factor Laboral','ACT')</v>
      </c>
      <c r="U112" s="110"/>
    </row>
    <row r="113" spans="6:21" x14ac:dyDescent="0.35">
      <c r="F113" s="108" t="s">
        <v>13</v>
      </c>
      <c r="G113" s="75">
        <v>10.119999999999999</v>
      </c>
      <c r="H113" s="67" t="s">
        <v>156</v>
      </c>
      <c r="I113" s="93"/>
      <c r="J113" s="93"/>
      <c r="K113" s="108"/>
      <c r="L113" s="108"/>
      <c r="M113" s="82">
        <v>12.8</v>
      </c>
      <c r="N113" s="83" t="s">
        <v>327</v>
      </c>
      <c r="O113" s="70"/>
      <c r="P113" s="70"/>
      <c r="Q113" s="70"/>
      <c r="R113" s="142"/>
      <c r="S113" s="142"/>
      <c r="T113" s="148" t="str">
        <f t="shared" si="2"/>
        <v>INSERT INTO Tb_Factor_Causa_Incidente VALUES('10.12 Selección inadecuadas de contratistas','Factor Laboral','ACT')</v>
      </c>
      <c r="U113" s="110"/>
    </row>
    <row r="114" spans="6:21" x14ac:dyDescent="0.35">
      <c r="F114" s="108" t="s">
        <v>13</v>
      </c>
      <c r="G114" s="118">
        <v>11</v>
      </c>
      <c r="H114" s="78" t="s">
        <v>160</v>
      </c>
      <c r="I114" s="93"/>
      <c r="J114" s="93"/>
      <c r="K114" s="108"/>
      <c r="L114" s="108"/>
      <c r="M114" s="82">
        <v>12.9</v>
      </c>
      <c r="N114" s="83" t="s">
        <v>328</v>
      </c>
      <c r="O114" s="70"/>
      <c r="P114" s="70"/>
      <c r="Q114" s="70"/>
      <c r="R114" s="142"/>
      <c r="S114" s="142"/>
      <c r="T114" s="148" t="str">
        <f t="shared" si="2"/>
        <v>INSERT INTO Tb_Factor_Causa_Incidente VALUES('11. Mantenimiento Inadecuado','Factor Laboral','ACT')</v>
      </c>
      <c r="U114" s="110"/>
    </row>
    <row r="115" spans="6:21" x14ac:dyDescent="0.35">
      <c r="F115" s="108" t="s">
        <v>13</v>
      </c>
      <c r="G115" s="120">
        <v>11.1</v>
      </c>
      <c r="H115" s="121" t="s">
        <v>162</v>
      </c>
      <c r="I115" s="93"/>
      <c r="J115" s="93"/>
      <c r="K115" s="108"/>
      <c r="L115" s="108"/>
      <c r="T115" s="148" t="str">
        <f t="shared" si="2"/>
        <v>INSERT INTO Tb_Factor_Causa_Incidente VALUES('11.1 Prevención inadecuada','Factor Laboral','ACT')</v>
      </c>
      <c r="U115" s="110"/>
    </row>
    <row r="116" spans="6:21" ht="15" thickBot="1" x14ac:dyDescent="0.4">
      <c r="F116" s="108" t="s">
        <v>13</v>
      </c>
      <c r="G116" s="75" t="s">
        <v>165</v>
      </c>
      <c r="H116" s="67" t="s">
        <v>166</v>
      </c>
      <c r="I116" s="93"/>
      <c r="J116" s="93"/>
      <c r="K116" s="108"/>
      <c r="L116" s="108"/>
      <c r="M116" s="80">
        <v>13</v>
      </c>
      <c r="N116" s="58" t="s">
        <v>329</v>
      </c>
      <c r="O116" s="64" t="s">
        <v>460</v>
      </c>
      <c r="P116" s="65" t="s">
        <v>461</v>
      </c>
      <c r="Q116" s="65" t="s">
        <v>462</v>
      </c>
      <c r="R116" s="142"/>
      <c r="S116" s="142"/>
      <c r="T116" s="148" t="str">
        <f t="shared" si="2"/>
        <v>INSERT INTO Tb_Factor_Causa_Incidente VALUES('11.1.1 Evaluación de necesidades','Factor Laboral','ACT')</v>
      </c>
      <c r="U116" s="110"/>
    </row>
    <row r="117" spans="6:21" x14ac:dyDescent="0.35">
      <c r="F117" s="108" t="s">
        <v>13</v>
      </c>
      <c r="G117" s="75" t="s">
        <v>169</v>
      </c>
      <c r="H117" s="67" t="s">
        <v>170</v>
      </c>
      <c r="I117" s="93"/>
      <c r="J117" s="93"/>
      <c r="K117" s="108"/>
      <c r="L117" s="108"/>
      <c r="M117" s="82">
        <v>13.1</v>
      </c>
      <c r="N117" s="83" t="s">
        <v>330</v>
      </c>
      <c r="O117" s="70"/>
      <c r="P117" s="70"/>
      <c r="Q117" s="70"/>
      <c r="R117" s="142"/>
      <c r="S117" s="142"/>
      <c r="T117" s="148" t="str">
        <f t="shared" si="2"/>
        <v>INSERT INTO Tb_Factor_Causa_Incidente VALUES('11.1.2 Lubricación y servicio','Factor Laboral','ACT')</v>
      </c>
      <c r="U117" s="110"/>
    </row>
    <row r="118" spans="6:21" x14ac:dyDescent="0.35">
      <c r="F118" s="108" t="s">
        <v>13</v>
      </c>
      <c r="G118" s="75" t="s">
        <v>173</v>
      </c>
      <c r="H118" s="67" t="s">
        <v>174</v>
      </c>
      <c r="I118" s="93"/>
      <c r="J118" s="93"/>
      <c r="K118" s="108"/>
      <c r="L118" s="108"/>
      <c r="M118" s="82">
        <v>13.2</v>
      </c>
      <c r="N118" s="83" t="s">
        <v>331</v>
      </c>
      <c r="O118" s="70"/>
      <c r="P118" s="70"/>
      <c r="Q118" s="70"/>
      <c r="R118" s="142"/>
      <c r="S118" s="142"/>
      <c r="T118" s="148" t="str">
        <f t="shared" si="2"/>
        <v>INSERT INTO Tb_Factor_Causa_Incidente VALUES('11.1.3 Ajuste/ensamblaje','Factor Laboral','ACT')</v>
      </c>
      <c r="U118" s="110"/>
    </row>
    <row r="119" spans="6:21" x14ac:dyDescent="0.35">
      <c r="F119" s="108" t="s">
        <v>13</v>
      </c>
      <c r="G119" s="75" t="s">
        <v>177</v>
      </c>
      <c r="H119" s="67" t="s">
        <v>178</v>
      </c>
      <c r="I119" s="93"/>
      <c r="J119" s="93"/>
      <c r="K119" s="108"/>
      <c r="L119" s="108"/>
      <c r="M119" s="82">
        <v>13.3</v>
      </c>
      <c r="N119" s="83" t="s">
        <v>332</v>
      </c>
      <c r="O119" s="70"/>
      <c r="P119" s="70"/>
      <c r="Q119" s="70"/>
      <c r="R119" s="142"/>
      <c r="S119" s="142"/>
      <c r="T119" s="148" t="str">
        <f t="shared" si="2"/>
        <v>INSERT INTO Tb_Factor_Causa_Incidente VALUES('11.1.4 Limpieza o pulimento','Factor Laboral','ACT')</v>
      </c>
      <c r="U119" s="110"/>
    </row>
    <row r="120" spans="6:21" x14ac:dyDescent="0.35">
      <c r="F120" s="108" t="s">
        <v>13</v>
      </c>
      <c r="G120" s="120">
        <v>11.2</v>
      </c>
      <c r="H120" s="121" t="s">
        <v>181</v>
      </c>
      <c r="I120" s="93"/>
      <c r="J120" s="93"/>
      <c r="K120" s="108"/>
      <c r="L120" s="108"/>
      <c r="M120" s="82">
        <v>13.5</v>
      </c>
      <c r="N120" s="83" t="s">
        <v>333</v>
      </c>
      <c r="O120" s="70"/>
      <c r="P120" s="70"/>
      <c r="Q120" s="70"/>
      <c r="R120" s="142"/>
      <c r="S120" s="142"/>
      <c r="T120" s="148" t="str">
        <f t="shared" si="2"/>
        <v>INSERT INTO Tb_Factor_Causa_Incidente VALUES('11.2 Reparación inadecuada','Factor Laboral','ACT')</v>
      </c>
      <c r="U120" s="110"/>
    </row>
    <row r="121" spans="6:21" x14ac:dyDescent="0.35">
      <c r="F121" s="108" t="s">
        <v>13</v>
      </c>
      <c r="G121" s="75" t="s">
        <v>184</v>
      </c>
      <c r="H121" s="67" t="s">
        <v>185</v>
      </c>
      <c r="I121" s="93"/>
      <c r="J121" s="93"/>
      <c r="K121" s="108"/>
      <c r="L121" s="108"/>
      <c r="T121" s="148" t="str">
        <f t="shared" si="2"/>
        <v>INSERT INTO Tb_Factor_Causa_Incidente VALUES('12.2.2 Planteamiento de trabajo','Factor Laboral','ACT')</v>
      </c>
      <c r="U121" s="110"/>
    </row>
    <row r="122" spans="6:21" ht="15" thickBot="1" x14ac:dyDescent="0.4">
      <c r="F122" s="108" t="s">
        <v>13</v>
      </c>
      <c r="G122" s="75" t="s">
        <v>188</v>
      </c>
      <c r="H122" s="67" t="s">
        <v>189</v>
      </c>
      <c r="I122" s="93"/>
      <c r="J122" s="93"/>
      <c r="K122" s="108"/>
      <c r="L122" s="108"/>
      <c r="M122" s="80">
        <v>14</v>
      </c>
      <c r="N122" s="58" t="s">
        <v>334</v>
      </c>
      <c r="O122" s="64" t="s">
        <v>460</v>
      </c>
      <c r="P122" s="65" t="s">
        <v>461</v>
      </c>
      <c r="Q122" s="65" t="s">
        <v>462</v>
      </c>
      <c r="R122" s="142"/>
      <c r="S122" s="142"/>
      <c r="T122" s="148" t="str">
        <f t="shared" si="2"/>
        <v>INSERT INTO Tb_Factor_Causa_Incidente VALUES('12.2.3 Examinación de unidades','Factor Laboral','ACT')</v>
      </c>
      <c r="U122" s="108"/>
    </row>
    <row r="123" spans="6:21" x14ac:dyDescent="0.35">
      <c r="F123" s="108" t="s">
        <v>13</v>
      </c>
      <c r="G123" s="75" t="s">
        <v>192</v>
      </c>
      <c r="H123" s="67" t="s">
        <v>193</v>
      </c>
      <c r="I123" s="93"/>
      <c r="J123" s="93"/>
      <c r="K123" s="108"/>
      <c r="L123" s="108"/>
      <c r="M123" s="82">
        <v>14.1</v>
      </c>
      <c r="N123" s="83" t="s">
        <v>57</v>
      </c>
      <c r="O123" s="70"/>
      <c r="P123" s="70"/>
      <c r="Q123" s="70"/>
      <c r="R123" s="142"/>
      <c r="S123" s="142"/>
      <c r="T123" s="148" t="str">
        <f t="shared" si="2"/>
        <v>INSERT INTO Tb_Factor_Causa_Incidente VALUES('12.2.4 Substitución de partes','Factor Laboral','ACT')</v>
      </c>
      <c r="U123" s="110"/>
    </row>
    <row r="124" spans="6:21" x14ac:dyDescent="0.35">
      <c r="F124" s="108" t="s">
        <v>13</v>
      </c>
      <c r="G124" s="118">
        <v>12</v>
      </c>
      <c r="H124" s="78" t="s">
        <v>198</v>
      </c>
      <c r="I124" s="93"/>
      <c r="J124" s="93"/>
      <c r="K124" s="108"/>
      <c r="L124" s="108"/>
      <c r="M124" s="82">
        <v>14.2</v>
      </c>
      <c r="N124" s="83" t="s">
        <v>335</v>
      </c>
      <c r="O124" s="70"/>
      <c r="P124" s="70"/>
      <c r="Q124" s="70"/>
      <c r="R124" s="142"/>
      <c r="S124" s="142"/>
      <c r="T124" s="148" t="str">
        <f t="shared" si="2"/>
        <v>INSERT INTO Tb_Factor_Causa_Incidente VALUES('12. Herramientas y Equipos Inadecuados','Factor Laboral','ACT')</v>
      </c>
      <c r="U124" s="110"/>
    </row>
    <row r="125" spans="6:21" x14ac:dyDescent="0.35">
      <c r="F125" s="108" t="s">
        <v>13</v>
      </c>
      <c r="G125" s="75">
        <v>12.1</v>
      </c>
      <c r="H125" s="67" t="s">
        <v>200</v>
      </c>
      <c r="I125" s="93"/>
      <c r="J125" s="93"/>
      <c r="K125" s="108"/>
      <c r="L125" s="108"/>
      <c r="M125" s="82">
        <v>14.3</v>
      </c>
      <c r="N125" s="83" t="s">
        <v>336</v>
      </c>
      <c r="O125" s="70"/>
      <c r="P125" s="70"/>
      <c r="Q125" s="70"/>
      <c r="R125" s="142"/>
      <c r="S125" s="142"/>
      <c r="T125" s="148" t="str">
        <f t="shared" si="2"/>
        <v>INSERT INTO Tb_Factor_Causa_Incidente VALUES('12.1 Evaluación deficiente de necesidades y riesgos','Factor Laboral','ACT')</v>
      </c>
      <c r="U125" s="110"/>
    </row>
    <row r="126" spans="6:21" x14ac:dyDescent="0.35">
      <c r="F126" s="108" t="s">
        <v>13</v>
      </c>
      <c r="G126" s="75">
        <v>12.2</v>
      </c>
      <c r="H126" s="67" t="s">
        <v>203</v>
      </c>
      <c r="I126" s="93"/>
      <c r="J126" s="93"/>
      <c r="K126" s="108"/>
      <c r="L126" s="108"/>
      <c r="M126" s="82">
        <v>14.4</v>
      </c>
      <c r="N126" s="83" t="s">
        <v>337</v>
      </c>
      <c r="O126" s="70"/>
      <c r="P126" s="70"/>
      <c r="Q126" s="70"/>
      <c r="R126" s="142"/>
      <c r="S126" s="142"/>
      <c r="T126" s="148" t="str">
        <f t="shared" si="2"/>
        <v>INSERT INTO Tb_Factor_Causa_Incidente VALUES('12.2 Consideración inadecuada de factores humanos/ergonómicos','Factor Laboral','ACT')</v>
      </c>
      <c r="U126" s="110"/>
    </row>
    <row r="127" spans="6:21" x14ac:dyDescent="0.35">
      <c r="F127" s="108" t="s">
        <v>13</v>
      </c>
      <c r="G127" s="75">
        <v>12.3</v>
      </c>
      <c r="H127" s="67" t="s">
        <v>205</v>
      </c>
      <c r="I127" s="93"/>
      <c r="J127" s="93"/>
      <c r="K127" s="108"/>
      <c r="L127" s="108"/>
      <c r="T127" s="148" t="str">
        <f t="shared" si="2"/>
        <v>INSERT INTO Tb_Factor_Causa_Incidente VALUES('12.3 Estándares o especificación inadecuados','Factor Laboral','ACT')</v>
      </c>
      <c r="U127" s="110"/>
    </row>
    <row r="128" spans="6:21" ht="15" thickBot="1" x14ac:dyDescent="0.4">
      <c r="F128" s="108" t="s">
        <v>13</v>
      </c>
      <c r="G128" s="75">
        <v>12.4</v>
      </c>
      <c r="H128" s="67" t="s">
        <v>208</v>
      </c>
      <c r="I128" s="93"/>
      <c r="J128" s="93"/>
      <c r="K128" s="108"/>
      <c r="L128" s="108"/>
      <c r="M128" s="80">
        <v>15</v>
      </c>
      <c r="N128" s="58" t="s">
        <v>338</v>
      </c>
      <c r="O128" s="64" t="s">
        <v>460</v>
      </c>
      <c r="P128" s="65" t="s">
        <v>461</v>
      </c>
      <c r="Q128" s="65" t="s">
        <v>462</v>
      </c>
      <c r="R128" s="142"/>
      <c r="S128" s="142"/>
      <c r="T128" s="148" t="str">
        <f t="shared" si="2"/>
        <v>INSERT INTO Tb_Factor_Causa_Incidente VALUES('12.4 Disponibilidad inadecuada','Factor Laboral','ACT')</v>
      </c>
      <c r="U128" s="108"/>
    </row>
    <row r="129" spans="6:21" x14ac:dyDescent="0.35">
      <c r="F129" s="108" t="s">
        <v>13</v>
      </c>
      <c r="G129" s="75">
        <v>12.5</v>
      </c>
      <c r="H129" s="67" t="s">
        <v>210</v>
      </c>
      <c r="I129" s="93"/>
      <c r="J129" s="93"/>
      <c r="K129" s="108"/>
      <c r="L129" s="108"/>
      <c r="M129" s="82">
        <v>15.1</v>
      </c>
      <c r="N129" s="83" t="s">
        <v>339</v>
      </c>
      <c r="O129" s="85"/>
      <c r="P129" s="85"/>
      <c r="Q129" s="85"/>
      <c r="R129" s="142"/>
      <c r="S129" s="142"/>
      <c r="T129" s="148" t="str">
        <f t="shared" si="2"/>
        <v>INSERT INTO Tb_Factor_Causa_Incidente VALUES('12.5 Ajuste/reparación/mantenimiento deficiente','Factor Laboral','ACT')</v>
      </c>
      <c r="U129" s="110"/>
    </row>
    <row r="130" spans="6:21" x14ac:dyDescent="0.35">
      <c r="F130" s="108" t="s">
        <v>13</v>
      </c>
      <c r="G130" s="75">
        <v>12.6</v>
      </c>
      <c r="H130" s="67" t="s">
        <v>213</v>
      </c>
      <c r="I130" s="93"/>
      <c r="J130" s="93"/>
      <c r="K130" s="108"/>
      <c r="L130" s="108"/>
      <c r="M130" s="82">
        <v>15.3</v>
      </c>
      <c r="N130" s="83" t="s">
        <v>340</v>
      </c>
      <c r="O130" s="70"/>
      <c r="P130" s="70"/>
      <c r="Q130" s="70"/>
      <c r="R130" s="142"/>
      <c r="S130" s="142"/>
      <c r="T130" s="148" t="str">
        <f t="shared" si="2"/>
        <v>INSERT INTO Tb_Factor_Causa_Incidente VALUES('12.6 Salvamento y reclamación inadecuada','Factor Laboral','ACT')</v>
      </c>
      <c r="U130" s="110"/>
    </row>
    <row r="131" spans="6:21" x14ac:dyDescent="0.35">
      <c r="F131" s="108" t="s">
        <v>13</v>
      </c>
      <c r="G131" s="75">
        <v>12.7</v>
      </c>
      <c r="H131" s="67" t="s">
        <v>216</v>
      </c>
      <c r="I131" s="93"/>
      <c r="J131" s="93"/>
      <c r="K131" s="108"/>
      <c r="L131" s="108"/>
      <c r="M131" s="82">
        <v>15.4</v>
      </c>
      <c r="N131" s="83" t="s">
        <v>341</v>
      </c>
      <c r="O131" s="70"/>
      <c r="P131" s="70"/>
      <c r="Q131" s="70"/>
      <c r="R131" s="142"/>
      <c r="S131" s="142"/>
      <c r="T131" s="148" t="str">
        <f t="shared" si="2"/>
        <v>INSERT INTO Tb_Factor_Causa_Incidente VALUES('12.7 Inadecuada remoción y reemplazo de artículos deficientes','Factor Laboral','ACT')</v>
      </c>
      <c r="U131" s="110"/>
    </row>
    <row r="132" spans="6:21" x14ac:dyDescent="0.35">
      <c r="G132" s="118">
        <v>13</v>
      </c>
      <c r="H132" s="78" t="s">
        <v>220</v>
      </c>
      <c r="I132" s="93"/>
      <c r="J132" s="93"/>
      <c r="T132" s="148" t="str">
        <f t="shared" si="2"/>
        <v>INSERT INTO Tb_Factor_Causa_Incidente VALUES('13. Estándares de Trabajo Inadecuados','Factor Laboral','ACT')</v>
      </c>
      <c r="U132" s="110"/>
    </row>
    <row r="133" spans="6:21" ht="15" thickBot="1" x14ac:dyDescent="0.4">
      <c r="G133" s="120">
        <v>13.1</v>
      </c>
      <c r="H133" s="121" t="s">
        <v>223</v>
      </c>
      <c r="I133" s="93"/>
      <c r="J133" s="93"/>
      <c r="M133" s="80">
        <v>16</v>
      </c>
      <c r="N133" s="58" t="s">
        <v>342</v>
      </c>
      <c r="O133" s="64" t="s">
        <v>460</v>
      </c>
      <c r="P133" s="65" t="s">
        <v>461</v>
      </c>
      <c r="Q133" s="65" t="s">
        <v>462</v>
      </c>
      <c r="R133" s="142"/>
      <c r="S133" s="142"/>
      <c r="T133" s="148" t="str">
        <f t="shared" si="2"/>
        <v>INSERT INTO Tb_Factor_Causa_Incidente VALUES('13.1 Desarrollo inadecuado de estándares para:','Factor Laboral','ACT')</v>
      </c>
    </row>
    <row r="134" spans="6:21" x14ac:dyDescent="0.35">
      <c r="G134" s="75" t="s">
        <v>225</v>
      </c>
      <c r="H134" s="67" t="s">
        <v>226</v>
      </c>
      <c r="I134" s="93"/>
      <c r="J134" s="93"/>
      <c r="M134" s="82">
        <v>16.100000000000001</v>
      </c>
      <c r="N134" s="83" t="s">
        <v>343</v>
      </c>
      <c r="O134" s="70"/>
      <c r="P134" s="70"/>
      <c r="Q134" s="70"/>
      <c r="R134" s="142"/>
      <c r="S134" s="142"/>
      <c r="T134" s="148" t="str">
        <f t="shared" si="2"/>
        <v>INSERT INTO Tb_Factor_Causa_Incidente VALUES('13.1.1 Inventario y evaluación de exposiciones y necesidades','Factor Laboral','ACT')</v>
      </c>
      <c r="U134" s="110"/>
    </row>
    <row r="135" spans="6:21" x14ac:dyDescent="0.35">
      <c r="G135" s="75" t="s">
        <v>228</v>
      </c>
      <c r="H135" s="67" t="s">
        <v>229</v>
      </c>
      <c r="I135" s="93"/>
      <c r="J135" s="93"/>
      <c r="M135" s="82">
        <v>16.2</v>
      </c>
      <c r="N135" s="83" t="s">
        <v>344</v>
      </c>
      <c r="O135" s="70"/>
      <c r="P135" s="70"/>
      <c r="Q135" s="70"/>
      <c r="R135" s="142"/>
      <c r="S135" s="142"/>
      <c r="T135" s="148" t="str">
        <f t="shared" si="2"/>
        <v>INSERT INTO Tb_Factor_Causa_Incidente VALUES('13.1.2 Coordinación en el diseño del proceso','Factor Laboral','ACT')</v>
      </c>
      <c r="U135" s="110"/>
    </row>
    <row r="136" spans="6:21" x14ac:dyDescent="0.35">
      <c r="G136" s="75" t="s">
        <v>232</v>
      </c>
      <c r="H136" s="67" t="s">
        <v>233</v>
      </c>
      <c r="I136" s="93"/>
      <c r="J136" s="93"/>
      <c r="M136" s="82">
        <v>16.3</v>
      </c>
      <c r="N136" s="83" t="s">
        <v>345</v>
      </c>
      <c r="O136" s="70"/>
      <c r="P136" s="70"/>
      <c r="Q136" s="70"/>
      <c r="R136" s="142"/>
      <c r="S136" s="142"/>
      <c r="T136" s="148" t="str">
        <f t="shared" si="2"/>
        <v>INSERT INTO Tb_Factor_Causa_Incidente VALUES('13.1.3 Involucramiento del empleado','Factor Laboral','ACT')</v>
      </c>
      <c r="U136" s="110"/>
    </row>
    <row r="137" spans="6:21" x14ac:dyDescent="0.35">
      <c r="G137" s="75" t="s">
        <v>235</v>
      </c>
      <c r="H137" s="67" t="s">
        <v>236</v>
      </c>
      <c r="I137" s="93"/>
      <c r="J137" s="93"/>
      <c r="T137" s="148" t="str">
        <f t="shared" si="2"/>
        <v>INSERT INTO Tb_Factor_Causa_Incidente VALUES('13.1.4 Estándares, procedimientos, reglas','Factor Laboral','ACT')</v>
      </c>
      <c r="U137" s="110"/>
    </row>
    <row r="138" spans="6:21" x14ac:dyDescent="0.35">
      <c r="G138" s="120">
        <v>13.2</v>
      </c>
      <c r="H138" s="121" t="s">
        <v>394</v>
      </c>
      <c r="I138" s="93"/>
      <c r="J138" s="93"/>
      <c r="M138" s="122">
        <v>17.100000000000001</v>
      </c>
      <c r="N138" s="123" t="s">
        <v>347</v>
      </c>
      <c r="O138" s="85"/>
      <c r="P138" s="85"/>
      <c r="Q138" s="85"/>
      <c r="R138" s="142"/>
      <c r="S138" s="142"/>
      <c r="T138" s="148" t="str">
        <f t="shared" si="2"/>
        <v>INSERT INTO Tb_Factor_Causa_Incidente VALUES('13.2 Comunicación inadecuada de estándares para:','Factor Laboral','ACT')</v>
      </c>
      <c r="U138" s="110"/>
    </row>
    <row r="139" spans="6:21" x14ac:dyDescent="0.35">
      <c r="G139" s="75" t="s">
        <v>240</v>
      </c>
      <c r="H139" s="67" t="s">
        <v>241</v>
      </c>
      <c r="I139" s="93"/>
      <c r="J139" s="93"/>
      <c r="M139" s="82">
        <v>17.2</v>
      </c>
      <c r="N139" s="83" t="s">
        <v>348</v>
      </c>
      <c r="O139" s="70"/>
      <c r="P139" s="70"/>
      <c r="Q139" s="70"/>
      <c r="R139" s="142"/>
      <c r="S139" s="142"/>
      <c r="T139" s="148" t="str">
        <f t="shared" si="2"/>
        <v>INSERT INTO Tb_Factor_Causa_Incidente VALUES('13.2.1 Publicaciones','Factor Laboral','ACT')</v>
      </c>
      <c r="U139" s="110"/>
    </row>
    <row r="140" spans="6:21" x14ac:dyDescent="0.35">
      <c r="G140" s="75" t="s">
        <v>244</v>
      </c>
      <c r="H140" s="67" t="s">
        <v>245</v>
      </c>
      <c r="I140" s="93"/>
      <c r="J140" s="93"/>
      <c r="M140" s="82">
        <v>17.3</v>
      </c>
      <c r="N140" s="83" t="s">
        <v>349</v>
      </c>
      <c r="O140" s="70"/>
      <c r="P140" s="70"/>
      <c r="Q140" s="70"/>
      <c r="R140" s="142"/>
      <c r="S140" s="142"/>
      <c r="T140" s="148" t="str">
        <f t="shared" si="2"/>
        <v>INSERT INTO Tb_Factor_Causa_Incidente VALUES('13.2.2 Distribuciones','Factor Laboral','ACT')</v>
      </c>
      <c r="U140" s="110"/>
    </row>
    <row r="141" spans="6:21" x14ac:dyDescent="0.35">
      <c r="G141" s="75" t="s">
        <v>248</v>
      </c>
      <c r="H141" s="67" t="s">
        <v>249</v>
      </c>
      <c r="I141" s="93"/>
      <c r="J141" s="93"/>
      <c r="M141" s="82">
        <v>17.399999999999999</v>
      </c>
      <c r="N141" s="83" t="s">
        <v>350</v>
      </c>
      <c r="O141" s="70"/>
      <c r="P141" s="70"/>
      <c r="Q141" s="70"/>
      <c r="R141" s="142"/>
      <c r="S141" s="142"/>
      <c r="T141" s="148" t="str">
        <f t="shared" si="2"/>
        <v>INSERT INTO Tb_Factor_Causa_Incidente VALUES('13.2.3 Traducción a idiomas apropiados','Factor Laboral','ACT')</v>
      </c>
      <c r="U141" s="110"/>
    </row>
    <row r="142" spans="6:21" x14ac:dyDescent="0.35">
      <c r="G142" s="75" t="s">
        <v>252</v>
      </c>
      <c r="H142" s="67" t="s">
        <v>253</v>
      </c>
      <c r="I142" s="93"/>
      <c r="J142" s="93"/>
      <c r="M142" s="82">
        <v>17.5</v>
      </c>
      <c r="N142" s="83" t="s">
        <v>351</v>
      </c>
      <c r="O142" s="70"/>
      <c r="P142" s="70"/>
      <c r="Q142" s="70"/>
      <c r="R142" s="142"/>
      <c r="S142" s="142"/>
      <c r="T142" s="148" t="str">
        <f t="shared" si="2"/>
        <v>INSERT INTO Tb_Factor_Causa_Incidente VALUES('13.2.4 Entrenamiento','Factor Laboral','ACT')</v>
      </c>
      <c r="U142" s="110"/>
    </row>
    <row r="143" spans="6:21" x14ac:dyDescent="0.35">
      <c r="G143" s="75" t="s">
        <v>256</v>
      </c>
      <c r="H143" s="67" t="s">
        <v>395</v>
      </c>
      <c r="I143" s="93"/>
      <c r="J143" s="93"/>
      <c r="M143" s="82">
        <v>17.600000000000001</v>
      </c>
      <c r="N143" s="83" t="s">
        <v>352</v>
      </c>
      <c r="O143" s="70"/>
      <c r="P143" s="70"/>
      <c r="Q143" s="70"/>
      <c r="R143" s="142"/>
      <c r="S143" s="142"/>
      <c r="T143" s="148" t="str">
        <f t="shared" si="2"/>
        <v>INSERT INTO Tb_Factor_Causa_Incidente VALUES('13.2.5 Reforzamiento con símbolos, códigos, símbolos de color y ayudas de trabajo','Factor Laboral','ACT')</v>
      </c>
      <c r="U143" s="110"/>
    </row>
    <row r="144" spans="6:21" x14ac:dyDescent="0.35">
      <c r="G144" s="120">
        <v>13.3</v>
      </c>
      <c r="H144" s="121" t="s">
        <v>259</v>
      </c>
      <c r="I144" s="93"/>
      <c r="J144" s="93"/>
      <c r="M144" s="82">
        <v>17.7</v>
      </c>
      <c r="N144" s="83" t="s">
        <v>353</v>
      </c>
      <c r="O144" s="70"/>
      <c r="P144" s="70"/>
      <c r="Q144" s="70"/>
      <c r="R144" s="142"/>
      <c r="S144" s="142"/>
      <c r="T144" s="148" t="str">
        <f t="shared" ref="T144:T162" si="3">_xlfn.CONCAT($R$78,H144,CHAR(39),$S$78)</f>
        <v>INSERT INTO Tb_Factor_Causa_Incidente VALUES('13.3 Mantenimiento inadecuada de estándares para','Factor Laboral','ACT')</v>
      </c>
      <c r="U144" s="110"/>
    </row>
    <row r="145" spans="7:21" x14ac:dyDescent="0.35">
      <c r="G145" s="75" t="s">
        <v>262</v>
      </c>
      <c r="H145" s="67" t="s">
        <v>263</v>
      </c>
      <c r="I145" s="93"/>
      <c r="J145" s="93"/>
      <c r="M145" s="82">
        <v>17.8</v>
      </c>
      <c r="N145" s="83" t="s">
        <v>354</v>
      </c>
      <c r="O145" s="70"/>
      <c r="P145" s="70"/>
      <c r="Q145" s="70"/>
      <c r="R145" s="142"/>
      <c r="S145" s="142"/>
      <c r="T145" s="148" t="str">
        <f t="shared" si="3"/>
        <v>INSERT INTO Tb_Factor_Causa_Incidente VALUES('13.3.1 Seguimiento del flujo de trabajo','Factor Laboral','ACT')</v>
      </c>
      <c r="U145" s="110"/>
    </row>
    <row r="146" spans="7:21" x14ac:dyDescent="0.35">
      <c r="G146" s="75" t="s">
        <v>266</v>
      </c>
      <c r="H146" s="67" t="s">
        <v>267</v>
      </c>
      <c r="I146" s="93"/>
      <c r="J146" s="93"/>
      <c r="M146" s="82">
        <v>17.899999999999999</v>
      </c>
      <c r="N146" s="83" t="s">
        <v>355</v>
      </c>
      <c r="O146" s="70"/>
      <c r="P146" s="70"/>
      <c r="Q146" s="70"/>
      <c r="R146" s="142"/>
      <c r="S146" s="142"/>
      <c r="T146" s="148" t="str">
        <f t="shared" si="3"/>
        <v>INSERT INTO Tb_Factor_Causa_Incidente VALUES('13.3.2 Actualización','Factor Laboral','ACT')</v>
      </c>
      <c r="U146" s="110"/>
    </row>
    <row r="147" spans="7:21" x14ac:dyDescent="0.35">
      <c r="G147" s="75" t="s">
        <v>270</v>
      </c>
      <c r="H147" s="67" t="s">
        <v>271</v>
      </c>
      <c r="I147" s="93"/>
      <c r="J147" s="93"/>
      <c r="T147" s="148" t="str">
        <f t="shared" si="3"/>
        <v>INSERT INTO Tb_Factor_Causa_Incidente VALUES('13.3.3 Monitoreo del uso de estándares/procedimientos/reglas','Factor Laboral','ACT')</v>
      </c>
      <c r="U147" s="110"/>
    </row>
    <row r="148" spans="7:21" x14ac:dyDescent="0.35">
      <c r="G148" s="118">
        <v>14</v>
      </c>
      <c r="H148" s="78" t="s">
        <v>276</v>
      </c>
      <c r="I148" s="93"/>
      <c r="J148" s="93"/>
      <c r="M148" s="80">
        <v>18</v>
      </c>
      <c r="N148" s="58" t="s">
        <v>356</v>
      </c>
      <c r="O148" s="124" t="s">
        <v>460</v>
      </c>
      <c r="P148" s="124" t="s">
        <v>461</v>
      </c>
      <c r="Q148" s="124" t="s">
        <v>462</v>
      </c>
      <c r="R148" s="142"/>
      <c r="S148" s="142"/>
      <c r="T148" s="148" t="str">
        <f t="shared" si="3"/>
        <v>INSERT INTO Tb_Factor_Causa_Incidente VALUES('14. Uso y Desgaste Excesivo','Factor Laboral','ACT')</v>
      </c>
      <c r="U148" s="110"/>
    </row>
    <row r="149" spans="7:21" x14ac:dyDescent="0.35">
      <c r="G149" s="75">
        <v>14.1</v>
      </c>
      <c r="H149" s="67" t="s">
        <v>278</v>
      </c>
      <c r="I149" s="93"/>
      <c r="J149" s="93"/>
      <c r="M149" s="82">
        <v>18.100000000000001</v>
      </c>
      <c r="N149" s="123" t="s">
        <v>357</v>
      </c>
      <c r="O149" s="84"/>
      <c r="P149" s="85"/>
      <c r="Q149" s="85"/>
      <c r="R149" s="142"/>
      <c r="S149" s="142"/>
      <c r="T149" s="148" t="str">
        <f t="shared" si="3"/>
        <v>INSERT INTO Tb_Factor_Causa_Incidente VALUES('14.1 Planificación inadecuada de uso','Factor Laboral','ACT')</v>
      </c>
      <c r="U149" s="110"/>
    </row>
    <row r="150" spans="7:21" x14ac:dyDescent="0.35">
      <c r="G150" s="75">
        <v>14.2</v>
      </c>
      <c r="H150" s="67" t="s">
        <v>281</v>
      </c>
      <c r="I150" s="93"/>
      <c r="J150" s="93"/>
      <c r="M150" s="82">
        <v>18.2</v>
      </c>
      <c r="N150" s="83" t="s">
        <v>358</v>
      </c>
      <c r="O150" s="90"/>
      <c r="P150" s="70"/>
      <c r="Q150" s="70"/>
      <c r="R150" s="142"/>
      <c r="S150" s="142"/>
      <c r="T150" s="148" t="str">
        <f t="shared" si="3"/>
        <v>INSERT INTO Tb_Factor_Causa_Incidente VALUES('14.2 Extensión inadecuada de la vida útil','Factor Laboral','ACT')</v>
      </c>
      <c r="U150" s="110"/>
    </row>
    <row r="151" spans="7:21" x14ac:dyDescent="0.35">
      <c r="G151" s="75">
        <v>14.3</v>
      </c>
      <c r="H151" s="67" t="s">
        <v>284</v>
      </c>
      <c r="I151" s="93"/>
      <c r="J151" s="93"/>
      <c r="M151" s="82">
        <v>18.3</v>
      </c>
      <c r="N151" s="83" t="s">
        <v>359</v>
      </c>
      <c r="O151" s="90"/>
      <c r="P151" s="70"/>
      <c r="Q151" s="70"/>
      <c r="R151" s="142"/>
      <c r="S151" s="142"/>
      <c r="T151" s="148" t="str">
        <f t="shared" si="3"/>
        <v>INSERT INTO Tb_Factor_Causa_Incidente VALUES('14.3 Inspección y/o control deficiente','Factor Laboral','ACT')</v>
      </c>
      <c r="U151" s="110"/>
    </row>
    <row r="152" spans="7:21" x14ac:dyDescent="0.35">
      <c r="G152" s="75">
        <v>14.4</v>
      </c>
      <c r="H152" s="67" t="s">
        <v>287</v>
      </c>
      <c r="I152" s="93"/>
      <c r="J152" s="93"/>
      <c r="M152" s="82">
        <v>18.399999999999999</v>
      </c>
      <c r="N152" s="83" t="s">
        <v>360</v>
      </c>
      <c r="O152" s="90"/>
      <c r="P152" s="70"/>
      <c r="Q152" s="70"/>
      <c r="R152" s="142"/>
      <c r="S152" s="142"/>
      <c r="T152" s="148" t="str">
        <f t="shared" si="3"/>
        <v>INSERT INTO Tb_Factor_Causa_Incidente VALUES('14.4 Carga o proporción de uso deficiente','Factor Laboral','ACT')</v>
      </c>
      <c r="U152" s="110"/>
    </row>
    <row r="153" spans="7:21" x14ac:dyDescent="0.35">
      <c r="G153" s="75">
        <v>14.5</v>
      </c>
      <c r="H153" s="67" t="s">
        <v>289</v>
      </c>
      <c r="I153" s="93"/>
      <c r="J153" s="93"/>
      <c r="T153" s="148" t="str">
        <f t="shared" si="3"/>
        <v>INSERT INTO Tb_Factor_Causa_Incidente VALUES('14.5 Mantenimiento deficiente','Factor Laboral','ACT')</v>
      </c>
      <c r="U153" s="110"/>
    </row>
    <row r="154" spans="7:21" x14ac:dyDescent="0.35">
      <c r="G154" s="75">
        <v>14.6</v>
      </c>
      <c r="H154" s="67" t="s">
        <v>291</v>
      </c>
      <c r="I154" s="93"/>
      <c r="J154" s="93"/>
      <c r="M154" s="82">
        <v>19.100000000000001</v>
      </c>
      <c r="N154" s="83" t="s">
        <v>57</v>
      </c>
      <c r="O154" s="84"/>
      <c r="P154" s="85"/>
      <c r="Q154" s="85"/>
      <c r="R154" s="142"/>
      <c r="S154" s="142"/>
      <c r="T154" s="148" t="str">
        <f t="shared" si="3"/>
        <v>INSERT INTO Tb_Factor_Causa_Incidente VALUES('14.6 Uso por personas no calificadas/entrenadas','Factor Laboral','ACT')</v>
      </c>
      <c r="U154" s="110"/>
    </row>
    <row r="155" spans="7:21" x14ac:dyDescent="0.35">
      <c r="G155" s="75">
        <v>14.7</v>
      </c>
      <c r="H155" s="67" t="s">
        <v>293</v>
      </c>
      <c r="I155" s="93"/>
      <c r="J155" s="93"/>
      <c r="M155" s="82">
        <v>19.2</v>
      </c>
      <c r="N155" s="83" t="s">
        <v>362</v>
      </c>
      <c r="O155" s="90"/>
      <c r="P155" s="70"/>
      <c r="Q155" s="70"/>
      <c r="R155" s="142"/>
      <c r="S155" s="142"/>
      <c r="T155" s="148" t="str">
        <f t="shared" si="3"/>
        <v>INSERT INTO Tb_Factor_Causa_Incidente VALUES('14.7 Uso para propósitos indebidos','Factor Laboral','ACT')</v>
      </c>
      <c r="U155" s="110"/>
    </row>
    <row r="156" spans="7:21" x14ac:dyDescent="0.35">
      <c r="G156" s="118">
        <v>15</v>
      </c>
      <c r="H156" s="78" t="s">
        <v>296</v>
      </c>
      <c r="I156" s="93"/>
      <c r="J156" s="93"/>
      <c r="T156" s="148" t="str">
        <f t="shared" si="3"/>
        <v>INSERT INTO Tb_Factor_Causa_Incidente VALUES('15. Abuso o Mal Uso','Factor Laboral','ACT')</v>
      </c>
      <c r="U156" s="110"/>
    </row>
    <row r="157" spans="7:21" x14ac:dyDescent="0.35">
      <c r="G157" s="120">
        <v>15.1</v>
      </c>
      <c r="H157" s="121" t="s">
        <v>297</v>
      </c>
      <c r="I157" s="93"/>
      <c r="J157" s="93"/>
      <c r="M157" s="80">
        <v>20</v>
      </c>
      <c r="N157" s="58" t="s">
        <v>363</v>
      </c>
      <c r="O157" s="124" t="s">
        <v>460</v>
      </c>
      <c r="P157" s="124" t="s">
        <v>461</v>
      </c>
      <c r="Q157" s="124" t="s">
        <v>462</v>
      </c>
      <c r="R157" s="142"/>
      <c r="S157" s="142"/>
      <c r="T157" s="148" t="str">
        <f t="shared" si="3"/>
        <v>INSERT INTO Tb_Factor_Causa_Incidente VALUES('15.1 Conducta inapropiada censurada','Factor Laboral','ACT')</v>
      </c>
      <c r="U157" s="110"/>
    </row>
    <row r="158" spans="7:21" x14ac:dyDescent="0.35">
      <c r="G158" s="75" t="s">
        <v>299</v>
      </c>
      <c r="H158" s="67" t="s">
        <v>300</v>
      </c>
      <c r="I158" s="93"/>
      <c r="J158" s="93"/>
      <c r="M158" s="82">
        <v>20.100000000000001</v>
      </c>
      <c r="N158" s="83" t="s">
        <v>364</v>
      </c>
      <c r="O158" s="70"/>
      <c r="P158" s="70"/>
      <c r="Q158" s="70"/>
      <c r="R158" s="142"/>
      <c r="S158" s="142"/>
      <c r="T158" s="148" t="str">
        <f t="shared" si="3"/>
        <v>INSERT INTO Tb_Factor_Causa_Incidente VALUES('15.1.1 Intencional','Factor Laboral','ACT')</v>
      </c>
      <c r="U158" s="110"/>
    </row>
    <row r="159" spans="7:21" x14ac:dyDescent="0.35">
      <c r="G159" s="75" t="s">
        <v>302</v>
      </c>
      <c r="H159" s="67" t="s">
        <v>303</v>
      </c>
      <c r="I159" s="93"/>
      <c r="J159" s="93"/>
      <c r="M159" s="82">
        <v>20.2</v>
      </c>
      <c r="N159" s="83" t="s">
        <v>365</v>
      </c>
      <c r="O159" s="70"/>
      <c r="P159" s="70"/>
      <c r="Q159" s="70"/>
      <c r="R159" s="142"/>
      <c r="S159" s="142"/>
      <c r="T159" s="148" t="str">
        <f t="shared" si="3"/>
        <v>INSERT INTO Tb_Factor_Causa_Incidente VALUES('15.1.2 No intencional','Factor Laboral','ACT')</v>
      </c>
      <c r="U159" s="110"/>
    </row>
    <row r="160" spans="7:21" x14ac:dyDescent="0.35">
      <c r="G160" s="120">
        <v>15.2</v>
      </c>
      <c r="H160" s="121" t="s">
        <v>305</v>
      </c>
      <c r="I160" s="93"/>
      <c r="J160" s="93"/>
      <c r="T160" s="148" t="str">
        <f t="shared" si="3"/>
        <v>INSERT INTO Tb_Factor_Causa_Incidente VALUES('15.2 Conducta inapropiada permitida','Factor Laboral','ACT')</v>
      </c>
      <c r="U160" s="110"/>
    </row>
    <row r="161" spans="7:21" x14ac:dyDescent="0.35">
      <c r="G161" s="75" t="s">
        <v>307</v>
      </c>
      <c r="H161" s="67" t="s">
        <v>308</v>
      </c>
      <c r="I161" s="93"/>
      <c r="J161" s="93"/>
      <c r="T161" s="148" t="str">
        <f t="shared" si="3"/>
        <v>INSERT INTO Tb_Factor_Causa_Incidente VALUES('15.2.1 Intencional','Factor Laboral','ACT')</v>
      </c>
    </row>
    <row r="162" spans="7:21" x14ac:dyDescent="0.35">
      <c r="G162" s="75" t="s">
        <v>310</v>
      </c>
      <c r="H162" s="67" t="s">
        <v>311</v>
      </c>
      <c r="I162" s="93"/>
      <c r="J162" s="93"/>
      <c r="T162" s="148" t="str">
        <f t="shared" si="3"/>
        <v>INSERT INTO Tb_Factor_Causa_Incidente VALUES('15.2.2 No intencional','Factor Laboral','ACT')</v>
      </c>
      <c r="U162" s="110"/>
    </row>
    <row r="163" spans="7:21" x14ac:dyDescent="0.35">
      <c r="I163" s="93"/>
      <c r="J163" s="93"/>
      <c r="T163" s="148"/>
    </row>
    <row r="164" spans="7:21" x14ac:dyDescent="0.35">
      <c r="I164" s="93"/>
      <c r="J164" s="93"/>
      <c r="T164" s="148"/>
    </row>
    <row r="165" spans="7:21" x14ac:dyDescent="0.35">
      <c r="I165" s="93"/>
      <c r="J165" s="93"/>
      <c r="T165" s="148"/>
    </row>
    <row r="166" spans="7:21" x14ac:dyDescent="0.35">
      <c r="I166" s="93"/>
      <c r="J166" s="93"/>
    </row>
    <row r="167" spans="7:21" x14ac:dyDescent="0.35">
      <c r="I167" s="93"/>
      <c r="J167" s="93"/>
    </row>
    <row r="168" spans="7:21" x14ac:dyDescent="0.35">
      <c r="I168" s="93"/>
      <c r="J168" s="93"/>
    </row>
    <row r="169" spans="7:21" x14ac:dyDescent="0.35">
      <c r="I169" s="93"/>
      <c r="J169" s="93"/>
    </row>
    <row r="170" spans="7:21" x14ac:dyDescent="0.35">
      <c r="I170" s="93"/>
      <c r="J170" s="93"/>
    </row>
    <row r="171" spans="7:21" x14ac:dyDescent="0.35">
      <c r="I171" s="93"/>
      <c r="J171" s="93"/>
    </row>
    <row r="172" spans="7:21" x14ac:dyDescent="0.35">
      <c r="I172" s="93"/>
      <c r="J172" s="93"/>
    </row>
    <row r="173" spans="7:21" x14ac:dyDescent="0.35">
      <c r="I173" s="93"/>
      <c r="J173" s="93"/>
    </row>
    <row r="174" spans="7:21" x14ac:dyDescent="0.35">
      <c r="I174" s="93"/>
      <c r="J174" s="93"/>
    </row>
    <row r="175" spans="7:21" x14ac:dyDescent="0.35">
      <c r="I175" s="93"/>
      <c r="J175" s="93"/>
    </row>
    <row r="176" spans="7:21" x14ac:dyDescent="0.35">
      <c r="I176" s="93"/>
      <c r="J176" s="93"/>
    </row>
    <row r="177" spans="9:10" x14ac:dyDescent="0.35">
      <c r="I177" s="93"/>
      <c r="J177" s="93"/>
    </row>
    <row r="178" spans="9:10" x14ac:dyDescent="0.35">
      <c r="I178" s="93"/>
      <c r="J178" s="93"/>
    </row>
    <row r="179" spans="9:10" x14ac:dyDescent="0.35">
      <c r="I179" s="93"/>
      <c r="J179" s="93"/>
    </row>
    <row r="180" spans="9:10" x14ac:dyDescent="0.35">
      <c r="I180" s="93"/>
      <c r="J180" s="93"/>
    </row>
    <row r="181" spans="9:10" x14ac:dyDescent="0.35">
      <c r="I181" s="93"/>
      <c r="J181" s="93"/>
    </row>
    <row r="182" spans="9:10" x14ac:dyDescent="0.35">
      <c r="I182" s="93"/>
      <c r="J182" s="93"/>
    </row>
    <row r="183" spans="9:10" x14ac:dyDescent="0.35">
      <c r="I183" s="93"/>
      <c r="J183" s="93"/>
    </row>
    <row r="184" spans="9:10" x14ac:dyDescent="0.35">
      <c r="I184" s="93"/>
      <c r="J184" s="93"/>
    </row>
  </sheetData>
  <mergeCells count="2">
    <mergeCell ref="C2:D2"/>
    <mergeCell ref="G2:H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4"/>
  <sheetViews>
    <sheetView zoomScaleNormal="100" workbookViewId="0">
      <selection activeCell="E12" sqref="E12"/>
    </sheetView>
  </sheetViews>
  <sheetFormatPr baseColWidth="10" defaultColWidth="11.453125" defaultRowHeight="14.5" x14ac:dyDescent="0.35"/>
  <cols>
    <col min="1" max="1" width="4" customWidth="1"/>
    <col min="2" max="2" width="64.26953125" customWidth="1"/>
    <col min="3" max="3" width="1.54296875" customWidth="1"/>
    <col min="4" max="4" width="6.1796875" bestFit="1" customWidth="1"/>
    <col min="5" max="5" width="96.453125" customWidth="1"/>
    <col min="6" max="6" width="4.7265625" customWidth="1"/>
    <col min="7" max="7" width="3.7265625" customWidth="1"/>
  </cols>
  <sheetData>
    <row r="1" spans="1:7" x14ac:dyDescent="0.35">
      <c r="A1" s="14"/>
      <c r="B1" s="15"/>
      <c r="C1" s="14"/>
      <c r="D1" s="15"/>
      <c r="E1" s="16"/>
      <c r="F1" s="16"/>
      <c r="G1" s="13"/>
    </row>
    <row r="2" spans="1:7" ht="15" customHeight="1" x14ac:dyDescent="0.35">
      <c r="A2" s="221" t="s">
        <v>457</v>
      </c>
      <c r="B2" s="222"/>
      <c r="D2" s="221" t="s">
        <v>458</v>
      </c>
      <c r="E2" s="223"/>
    </row>
    <row r="3" spans="1:7" ht="15.75" customHeight="1" x14ac:dyDescent="0.35">
      <c r="A3" s="39"/>
      <c r="B3" s="36" t="s">
        <v>576</v>
      </c>
      <c r="D3" s="39"/>
      <c r="E3" s="39" t="s">
        <v>578</v>
      </c>
    </row>
    <row r="4" spans="1:7" x14ac:dyDescent="0.35">
      <c r="A4" s="38">
        <v>1</v>
      </c>
      <c r="B4" s="12" t="s">
        <v>403</v>
      </c>
      <c r="D4" s="30">
        <v>1</v>
      </c>
      <c r="E4" s="31" t="s">
        <v>16</v>
      </c>
      <c r="F4" s="8"/>
      <c r="G4" s="4"/>
    </row>
    <row r="5" spans="1:7" x14ac:dyDescent="0.35">
      <c r="A5" s="38">
        <v>2</v>
      </c>
      <c r="B5" s="12" t="s">
        <v>404</v>
      </c>
      <c r="D5" s="17">
        <v>1.1000000000000001</v>
      </c>
      <c r="E5" s="18" t="s">
        <v>20</v>
      </c>
      <c r="F5" s="21"/>
      <c r="G5" s="4"/>
    </row>
    <row r="6" spans="1:7" x14ac:dyDescent="0.35">
      <c r="A6" s="38">
        <v>3</v>
      </c>
      <c r="B6" s="12" t="s">
        <v>405</v>
      </c>
      <c r="D6" s="17">
        <v>1.2</v>
      </c>
      <c r="E6" s="18" t="s">
        <v>24</v>
      </c>
      <c r="F6" s="21"/>
      <c r="G6" s="4"/>
    </row>
    <row r="7" spans="1:7" x14ac:dyDescent="0.35">
      <c r="A7" s="38">
        <v>4</v>
      </c>
      <c r="B7" s="12" t="s">
        <v>406</v>
      </c>
      <c r="D7" s="17">
        <v>1.3</v>
      </c>
      <c r="E7" s="18" t="s">
        <v>28</v>
      </c>
      <c r="F7" s="21"/>
      <c r="G7" s="4"/>
    </row>
    <row r="8" spans="1:7" x14ac:dyDescent="0.35">
      <c r="A8" s="38">
        <v>5</v>
      </c>
      <c r="B8" s="12" t="s">
        <v>407</v>
      </c>
      <c r="D8" s="17">
        <v>1.4</v>
      </c>
      <c r="E8" s="18" t="s">
        <v>32</v>
      </c>
      <c r="F8" s="21"/>
      <c r="G8" s="4"/>
    </row>
    <row r="9" spans="1:7" ht="17.25" customHeight="1" x14ac:dyDescent="0.35">
      <c r="A9" s="38">
        <v>6</v>
      </c>
      <c r="B9" s="12" t="s">
        <v>408</v>
      </c>
      <c r="D9" s="17">
        <v>1.5</v>
      </c>
      <c r="E9" s="18" t="s">
        <v>36</v>
      </c>
      <c r="F9" s="21"/>
      <c r="G9" s="4"/>
    </row>
    <row r="10" spans="1:7" x14ac:dyDescent="0.35">
      <c r="A10" s="38">
        <v>7</v>
      </c>
      <c r="B10" s="12" t="s">
        <v>409</v>
      </c>
      <c r="D10" s="17">
        <v>1.6</v>
      </c>
      <c r="E10" s="18" t="s">
        <v>40</v>
      </c>
      <c r="F10" s="21"/>
      <c r="G10" s="4"/>
    </row>
    <row r="11" spans="1:7" x14ac:dyDescent="0.35">
      <c r="A11" s="38">
        <v>8</v>
      </c>
      <c r="B11" s="12" t="s">
        <v>410</v>
      </c>
      <c r="D11" s="17">
        <v>1.7</v>
      </c>
      <c r="E11" s="18" t="s">
        <v>44</v>
      </c>
      <c r="F11" s="21"/>
      <c r="G11" s="4"/>
    </row>
    <row r="12" spans="1:7" x14ac:dyDescent="0.35">
      <c r="A12" s="38">
        <v>9</v>
      </c>
      <c r="B12" s="12" t="s">
        <v>411</v>
      </c>
      <c r="D12" s="17">
        <v>1.8</v>
      </c>
      <c r="E12" s="18" t="s">
        <v>49</v>
      </c>
      <c r="F12" s="21"/>
      <c r="G12" s="4"/>
    </row>
    <row r="13" spans="1:7" x14ac:dyDescent="0.35">
      <c r="A13" s="38">
        <v>10</v>
      </c>
      <c r="B13" s="12" t="s">
        <v>412</v>
      </c>
      <c r="D13" s="17">
        <v>1.9</v>
      </c>
      <c r="E13" s="18" t="s">
        <v>54</v>
      </c>
      <c r="F13" s="21"/>
      <c r="G13" s="4"/>
    </row>
    <row r="14" spans="1:7" x14ac:dyDescent="0.35">
      <c r="A14" s="38">
        <v>11</v>
      </c>
      <c r="B14" s="12" t="s">
        <v>413</v>
      </c>
      <c r="D14" s="19">
        <v>1.1000000000000001</v>
      </c>
      <c r="E14" s="18" t="s">
        <v>60</v>
      </c>
      <c r="F14" s="21"/>
      <c r="G14" s="4"/>
    </row>
    <row r="15" spans="1:7" x14ac:dyDescent="0.35">
      <c r="A15" s="38">
        <v>12</v>
      </c>
      <c r="B15" s="12" t="s">
        <v>414</v>
      </c>
      <c r="D15" s="17">
        <v>1.1100000000000001</v>
      </c>
      <c r="E15" s="18" t="s">
        <v>64</v>
      </c>
      <c r="F15" s="21"/>
      <c r="G15" s="4"/>
    </row>
    <row r="16" spans="1:7" x14ac:dyDescent="0.35">
      <c r="A16" s="38">
        <v>13</v>
      </c>
      <c r="B16" s="12" t="s">
        <v>415</v>
      </c>
      <c r="D16" s="30">
        <v>2</v>
      </c>
      <c r="E16" s="31" t="s">
        <v>72</v>
      </c>
      <c r="F16" s="21"/>
      <c r="G16" s="4"/>
    </row>
    <row r="17" spans="1:7" x14ac:dyDescent="0.35">
      <c r="A17" s="38">
        <v>14</v>
      </c>
      <c r="B17" s="12" t="s">
        <v>416</v>
      </c>
      <c r="D17" s="17">
        <v>2.1</v>
      </c>
      <c r="E17" s="18" t="s">
        <v>75</v>
      </c>
      <c r="F17" s="21"/>
      <c r="G17" s="4"/>
    </row>
    <row r="18" spans="1:7" x14ac:dyDescent="0.35">
      <c r="A18" s="38">
        <v>15</v>
      </c>
      <c r="B18" s="12" t="s">
        <v>417</v>
      </c>
      <c r="C18" s="7"/>
      <c r="D18" s="17">
        <v>2.2000000000000002</v>
      </c>
      <c r="E18" s="18" t="s">
        <v>79</v>
      </c>
      <c r="F18" s="8"/>
      <c r="G18" s="4"/>
    </row>
    <row r="19" spans="1:7" x14ac:dyDescent="0.35">
      <c r="A19" s="38">
        <v>16</v>
      </c>
      <c r="B19" s="12" t="s">
        <v>418</v>
      </c>
      <c r="C19" s="7"/>
      <c r="D19" s="17">
        <v>2.2999999999999998</v>
      </c>
      <c r="E19" s="18" t="s">
        <v>83</v>
      </c>
      <c r="F19" s="21"/>
      <c r="G19" s="4"/>
    </row>
    <row r="20" spans="1:7" x14ac:dyDescent="0.35">
      <c r="A20" s="38">
        <v>17</v>
      </c>
      <c r="B20" s="12" t="s">
        <v>419</v>
      </c>
      <c r="C20" s="6"/>
      <c r="D20" s="17">
        <v>2.4</v>
      </c>
      <c r="E20" s="18" t="s">
        <v>87</v>
      </c>
      <c r="F20" s="21"/>
      <c r="G20" s="4"/>
    </row>
    <row r="21" spans="1:7" x14ac:dyDescent="0.35">
      <c r="A21" s="38">
        <v>18</v>
      </c>
      <c r="B21" s="12" t="s">
        <v>420</v>
      </c>
      <c r="C21" s="6"/>
      <c r="D21" s="17">
        <v>2.5</v>
      </c>
      <c r="E21" s="18" t="s">
        <v>90</v>
      </c>
      <c r="F21" s="21"/>
      <c r="G21" s="4"/>
    </row>
    <row r="22" spans="1:7" x14ac:dyDescent="0.35">
      <c r="A22" s="38">
        <v>19</v>
      </c>
      <c r="B22" s="12" t="s">
        <v>421</v>
      </c>
      <c r="C22" s="6"/>
      <c r="D22" s="17">
        <v>2.6</v>
      </c>
      <c r="E22" s="18" t="s">
        <v>95</v>
      </c>
      <c r="F22" s="21"/>
      <c r="G22" s="9"/>
    </row>
    <row r="23" spans="1:7" x14ac:dyDescent="0.35">
      <c r="A23" s="38">
        <v>20</v>
      </c>
      <c r="B23" s="12" t="s">
        <v>422</v>
      </c>
      <c r="C23" s="6"/>
      <c r="D23" s="17">
        <v>2.7</v>
      </c>
      <c r="E23" s="18" t="s">
        <v>100</v>
      </c>
      <c r="F23" s="21"/>
      <c r="G23" s="9"/>
    </row>
    <row r="24" spans="1:7" x14ac:dyDescent="0.35">
      <c r="A24" s="38">
        <v>21</v>
      </c>
      <c r="B24" s="12" t="s">
        <v>423</v>
      </c>
      <c r="C24" s="6"/>
      <c r="D24" s="17">
        <v>2.8</v>
      </c>
      <c r="E24" s="18" t="s">
        <v>106</v>
      </c>
      <c r="F24" s="21"/>
      <c r="G24" s="9"/>
    </row>
    <row r="25" spans="1:7" x14ac:dyDescent="0.35">
      <c r="A25" s="38">
        <v>22</v>
      </c>
      <c r="B25" s="12" t="s">
        <v>424</v>
      </c>
      <c r="C25" s="6"/>
      <c r="D25" s="17">
        <v>2.9</v>
      </c>
      <c r="E25" s="18" t="s">
        <v>112</v>
      </c>
      <c r="F25" s="21"/>
      <c r="G25" s="9"/>
    </row>
    <row r="26" spans="1:7" x14ac:dyDescent="0.35">
      <c r="A26" s="38">
        <v>23</v>
      </c>
      <c r="B26" s="12" t="s">
        <v>425</v>
      </c>
      <c r="C26" s="6"/>
      <c r="D26" s="19">
        <v>2.1</v>
      </c>
      <c r="E26" s="18" t="s">
        <v>117</v>
      </c>
      <c r="F26" s="21"/>
      <c r="G26" s="9"/>
    </row>
    <row r="27" spans="1:7" x14ac:dyDescent="0.35">
      <c r="A27" s="38">
        <v>24</v>
      </c>
      <c r="B27" s="12" t="s">
        <v>426</v>
      </c>
      <c r="D27" s="17">
        <v>2.11</v>
      </c>
      <c r="E27" s="18" t="s">
        <v>121</v>
      </c>
      <c r="F27" s="21"/>
      <c r="G27" s="10"/>
    </row>
    <row r="28" spans="1:7" ht="15" customHeight="1" x14ac:dyDescent="0.35">
      <c r="A28" s="39"/>
      <c r="B28" s="41" t="s">
        <v>577</v>
      </c>
      <c r="D28" s="30">
        <v>3</v>
      </c>
      <c r="E28" s="31" t="s">
        <v>126</v>
      </c>
      <c r="F28" s="8"/>
      <c r="G28" s="10"/>
    </row>
    <row r="29" spans="1:7" x14ac:dyDescent="0.35">
      <c r="A29" s="38">
        <v>1</v>
      </c>
      <c r="B29" s="12" t="s">
        <v>439</v>
      </c>
      <c r="D29" s="17">
        <v>3.1</v>
      </c>
      <c r="E29" s="18" t="s">
        <v>129</v>
      </c>
      <c r="F29" s="21"/>
      <c r="G29" s="10"/>
    </row>
    <row r="30" spans="1:7" x14ac:dyDescent="0.35">
      <c r="A30" s="38">
        <v>2</v>
      </c>
      <c r="B30" s="12" t="s">
        <v>438</v>
      </c>
      <c r="D30" s="17">
        <v>3.2</v>
      </c>
      <c r="E30" s="18" t="s">
        <v>131</v>
      </c>
      <c r="F30" s="21"/>
      <c r="G30" s="10"/>
    </row>
    <row r="31" spans="1:7" x14ac:dyDescent="0.35">
      <c r="A31" s="38">
        <v>3</v>
      </c>
      <c r="B31" s="12" t="s">
        <v>437</v>
      </c>
      <c r="D31" s="17">
        <v>3.3</v>
      </c>
      <c r="E31" s="18" t="s">
        <v>134</v>
      </c>
      <c r="F31" s="21"/>
      <c r="G31" s="10"/>
    </row>
    <row r="32" spans="1:7" x14ac:dyDescent="0.35">
      <c r="A32" s="38">
        <v>4</v>
      </c>
      <c r="B32" s="12" t="s">
        <v>436</v>
      </c>
      <c r="D32" s="17">
        <v>3.4</v>
      </c>
      <c r="E32" s="18" t="s">
        <v>137</v>
      </c>
      <c r="F32" s="21"/>
      <c r="G32" s="10"/>
    </row>
    <row r="33" spans="1:7" x14ac:dyDescent="0.35">
      <c r="A33" s="38">
        <v>5</v>
      </c>
      <c r="B33" s="12" t="s">
        <v>435</v>
      </c>
      <c r="D33" s="17">
        <v>3.5</v>
      </c>
      <c r="E33" s="18" t="s">
        <v>140</v>
      </c>
      <c r="F33" s="21"/>
      <c r="G33" s="10"/>
    </row>
    <row r="34" spans="1:7" x14ac:dyDescent="0.35">
      <c r="A34" s="38">
        <v>6</v>
      </c>
      <c r="B34" s="12" t="s">
        <v>434</v>
      </c>
      <c r="D34" s="17">
        <v>3.6</v>
      </c>
      <c r="E34" s="18" t="s">
        <v>143</v>
      </c>
      <c r="F34" s="21"/>
      <c r="G34" s="10"/>
    </row>
    <row r="35" spans="1:7" x14ac:dyDescent="0.35">
      <c r="A35" s="38">
        <v>7</v>
      </c>
      <c r="B35" s="12" t="s">
        <v>433</v>
      </c>
      <c r="D35" s="17">
        <v>3.7</v>
      </c>
      <c r="E35" s="18" t="s">
        <v>146</v>
      </c>
      <c r="F35" s="21"/>
      <c r="G35" s="10"/>
    </row>
    <row r="36" spans="1:7" x14ac:dyDescent="0.35">
      <c r="A36" s="38">
        <v>8</v>
      </c>
      <c r="B36" s="12" t="s">
        <v>432</v>
      </c>
      <c r="D36" s="17">
        <v>3.8</v>
      </c>
      <c r="E36" s="18" t="s">
        <v>149</v>
      </c>
      <c r="F36" s="21"/>
      <c r="G36" s="10"/>
    </row>
    <row r="37" spans="1:7" x14ac:dyDescent="0.35">
      <c r="A37" s="38">
        <v>9</v>
      </c>
      <c r="B37" s="12" t="s">
        <v>431</v>
      </c>
      <c r="D37" s="17">
        <v>3.9</v>
      </c>
      <c r="E37" s="18" t="s">
        <v>152</v>
      </c>
      <c r="F37" s="21"/>
      <c r="G37" s="10"/>
    </row>
    <row r="38" spans="1:7" x14ac:dyDescent="0.35">
      <c r="A38" s="38">
        <v>10</v>
      </c>
      <c r="B38" s="12" t="s">
        <v>430</v>
      </c>
      <c r="D38" s="19">
        <v>3.1</v>
      </c>
      <c r="E38" s="18" t="s">
        <v>155</v>
      </c>
      <c r="F38" s="21"/>
      <c r="G38" s="10"/>
    </row>
    <row r="39" spans="1:7" x14ac:dyDescent="0.35">
      <c r="A39" s="38">
        <v>11</v>
      </c>
      <c r="B39" s="12" t="s">
        <v>429</v>
      </c>
      <c r="D39" s="17">
        <v>3.11</v>
      </c>
      <c r="E39" s="18" t="s">
        <v>158</v>
      </c>
      <c r="F39" s="21"/>
      <c r="G39" s="10"/>
    </row>
    <row r="40" spans="1:7" x14ac:dyDescent="0.35">
      <c r="A40" s="38">
        <v>12</v>
      </c>
      <c r="B40" s="12" t="s">
        <v>428</v>
      </c>
      <c r="D40" s="30">
        <v>4</v>
      </c>
      <c r="E40" s="31" t="s">
        <v>161</v>
      </c>
      <c r="F40" s="21"/>
      <c r="G40" s="10"/>
    </row>
    <row r="41" spans="1:7" x14ac:dyDescent="0.35">
      <c r="A41" s="38">
        <v>13</v>
      </c>
      <c r="B41" s="12" t="s">
        <v>427</v>
      </c>
      <c r="D41" s="17">
        <v>4.0999999999999996</v>
      </c>
      <c r="E41" s="18" t="s">
        <v>164</v>
      </c>
      <c r="F41" s="21"/>
      <c r="G41" s="10"/>
    </row>
    <row r="42" spans="1:7" x14ac:dyDescent="0.35">
      <c r="A42" s="38">
        <v>14</v>
      </c>
      <c r="B42" s="12" t="s">
        <v>426</v>
      </c>
      <c r="D42" s="17">
        <v>4.2</v>
      </c>
      <c r="E42" s="18" t="s">
        <v>168</v>
      </c>
      <c r="F42" s="8"/>
      <c r="G42" s="10"/>
    </row>
    <row r="43" spans="1:7" x14ac:dyDescent="0.35">
      <c r="D43" s="17">
        <v>4.3</v>
      </c>
      <c r="E43" s="18" t="s">
        <v>172</v>
      </c>
      <c r="F43" s="21"/>
      <c r="G43" s="10"/>
    </row>
    <row r="44" spans="1:7" x14ac:dyDescent="0.35">
      <c r="D44" s="17">
        <v>4.4000000000000004</v>
      </c>
      <c r="E44" s="18" t="s">
        <v>176</v>
      </c>
      <c r="F44" s="21"/>
      <c r="G44" s="10"/>
    </row>
    <row r="45" spans="1:7" x14ac:dyDescent="0.35">
      <c r="D45" s="17">
        <v>4.5</v>
      </c>
      <c r="E45" s="18" t="s">
        <v>180</v>
      </c>
      <c r="F45" s="21"/>
      <c r="G45" s="10"/>
    </row>
    <row r="46" spans="1:7" x14ac:dyDescent="0.35">
      <c r="D46" s="17">
        <v>4.7</v>
      </c>
      <c r="E46" s="18" t="s">
        <v>183</v>
      </c>
      <c r="F46" s="21"/>
      <c r="G46" s="10"/>
    </row>
    <row r="47" spans="1:7" x14ac:dyDescent="0.35">
      <c r="D47" s="17">
        <v>4.8</v>
      </c>
      <c r="E47" s="18" t="s">
        <v>187</v>
      </c>
      <c r="F47" s="21"/>
      <c r="G47" s="10"/>
    </row>
    <row r="48" spans="1:7" x14ac:dyDescent="0.35">
      <c r="D48" s="17">
        <v>4.9000000000000004</v>
      </c>
      <c r="E48" s="18" t="s">
        <v>191</v>
      </c>
      <c r="F48" s="21"/>
      <c r="G48" s="10"/>
    </row>
    <row r="49" spans="4:7" x14ac:dyDescent="0.35">
      <c r="D49" s="19">
        <v>4.0999999999999996</v>
      </c>
      <c r="E49" s="18" t="s">
        <v>195</v>
      </c>
      <c r="F49" s="21"/>
      <c r="G49" s="10"/>
    </row>
    <row r="50" spans="4:7" x14ac:dyDescent="0.35">
      <c r="D50" s="17">
        <v>4.1100000000000003</v>
      </c>
      <c r="E50" s="18" t="s">
        <v>197</v>
      </c>
      <c r="F50" s="21"/>
      <c r="G50" s="10"/>
    </row>
    <row r="51" spans="4:7" x14ac:dyDescent="0.35">
      <c r="D51" s="30">
        <v>5</v>
      </c>
      <c r="E51" s="31" t="s">
        <v>202</v>
      </c>
      <c r="F51" s="21"/>
      <c r="G51" s="10"/>
    </row>
    <row r="52" spans="4:7" x14ac:dyDescent="0.35">
      <c r="D52" s="17">
        <v>5.0999999999999996</v>
      </c>
      <c r="E52" s="18" t="s">
        <v>204</v>
      </c>
      <c r="F52" s="21"/>
      <c r="G52" s="10"/>
    </row>
    <row r="53" spans="4:7" x14ac:dyDescent="0.35">
      <c r="D53" s="17">
        <v>5.2</v>
      </c>
      <c r="E53" s="18" t="s">
        <v>207</v>
      </c>
      <c r="F53" s="8"/>
      <c r="G53" s="10"/>
    </row>
    <row r="54" spans="4:7" x14ac:dyDescent="0.35">
      <c r="D54" s="17">
        <v>5.3</v>
      </c>
      <c r="E54" s="18" t="s">
        <v>209</v>
      </c>
      <c r="F54" s="21"/>
      <c r="G54" s="10"/>
    </row>
    <row r="55" spans="4:7" x14ac:dyDescent="0.35">
      <c r="D55" s="17">
        <v>5.4</v>
      </c>
      <c r="E55" s="18" t="s">
        <v>212</v>
      </c>
      <c r="F55" s="21"/>
      <c r="G55" s="11"/>
    </row>
    <row r="56" spans="4:7" x14ac:dyDescent="0.35">
      <c r="D56" s="17">
        <v>5.5</v>
      </c>
      <c r="E56" s="18" t="s">
        <v>215</v>
      </c>
      <c r="F56" s="21"/>
      <c r="G56" s="10"/>
    </row>
    <row r="57" spans="4:7" x14ac:dyDescent="0.35">
      <c r="D57" s="30">
        <v>6</v>
      </c>
      <c r="E57" s="31" t="s">
        <v>219</v>
      </c>
      <c r="F57" s="21"/>
      <c r="G57" s="10"/>
    </row>
    <row r="58" spans="4:7" x14ac:dyDescent="0.35">
      <c r="D58" s="17">
        <v>6.1</v>
      </c>
      <c r="E58" s="18" t="s">
        <v>222</v>
      </c>
      <c r="F58" s="21"/>
      <c r="G58" s="10"/>
    </row>
    <row r="59" spans="4:7" x14ac:dyDescent="0.35">
      <c r="D59" s="17">
        <v>6.2</v>
      </c>
      <c r="E59" s="18" t="s">
        <v>224</v>
      </c>
      <c r="F59" s="21"/>
      <c r="G59" s="10"/>
    </row>
    <row r="60" spans="4:7" x14ac:dyDescent="0.35">
      <c r="D60" s="17">
        <v>6.3</v>
      </c>
      <c r="E60" s="18" t="s">
        <v>227</v>
      </c>
      <c r="F60" s="21"/>
      <c r="G60" s="10"/>
    </row>
    <row r="61" spans="4:7" x14ac:dyDescent="0.35">
      <c r="D61" s="17">
        <v>6.4</v>
      </c>
      <c r="E61" s="18" t="s">
        <v>231</v>
      </c>
      <c r="F61" s="21"/>
      <c r="G61" s="10"/>
    </row>
    <row r="62" spans="4:7" x14ac:dyDescent="0.35">
      <c r="D62" s="17">
        <v>6.5</v>
      </c>
      <c r="E62" s="18" t="s">
        <v>234</v>
      </c>
      <c r="F62" s="8"/>
      <c r="G62" s="10"/>
    </row>
    <row r="63" spans="4:7" x14ac:dyDescent="0.35">
      <c r="D63" s="30">
        <v>7</v>
      </c>
      <c r="E63" s="31" t="s">
        <v>239</v>
      </c>
      <c r="F63" s="21"/>
      <c r="G63" s="10"/>
    </row>
    <row r="64" spans="4:7" x14ac:dyDescent="0.35">
      <c r="D64" s="17">
        <v>7.1</v>
      </c>
      <c r="E64" s="18" t="s">
        <v>243</v>
      </c>
      <c r="F64" s="21"/>
      <c r="G64" s="10"/>
    </row>
    <row r="65" spans="4:7" x14ac:dyDescent="0.35">
      <c r="D65" s="17">
        <v>7.2</v>
      </c>
      <c r="E65" s="18" t="s">
        <v>247</v>
      </c>
      <c r="F65" s="21"/>
      <c r="G65" s="10"/>
    </row>
    <row r="66" spans="4:7" x14ac:dyDescent="0.35">
      <c r="D66" s="17">
        <v>7.3</v>
      </c>
      <c r="E66" s="18" t="s">
        <v>251</v>
      </c>
      <c r="F66" s="21"/>
      <c r="G66" s="10"/>
    </row>
    <row r="67" spans="4:7" x14ac:dyDescent="0.35">
      <c r="D67" s="17">
        <v>7.4</v>
      </c>
      <c r="E67" s="18" t="s">
        <v>255</v>
      </c>
      <c r="F67" s="21"/>
      <c r="G67" s="10"/>
    </row>
    <row r="68" spans="4:7" x14ac:dyDescent="0.35">
      <c r="D68" s="17">
        <v>7.5</v>
      </c>
      <c r="E68" s="18" t="s">
        <v>258</v>
      </c>
      <c r="F68" s="21"/>
      <c r="G68" s="10"/>
    </row>
    <row r="69" spans="4:7" x14ac:dyDescent="0.35">
      <c r="D69" s="17">
        <v>7.6</v>
      </c>
      <c r="E69" s="18" t="s">
        <v>261</v>
      </c>
      <c r="F69" s="21"/>
      <c r="G69" s="10"/>
    </row>
    <row r="70" spans="4:7" x14ac:dyDescent="0.35">
      <c r="D70" s="17">
        <v>7.7</v>
      </c>
      <c r="E70" s="18" t="s">
        <v>265</v>
      </c>
      <c r="F70" s="21"/>
      <c r="G70" s="10"/>
    </row>
    <row r="71" spans="4:7" x14ac:dyDescent="0.35">
      <c r="D71" s="17">
        <v>7.8</v>
      </c>
      <c r="E71" s="18" t="s">
        <v>269</v>
      </c>
      <c r="F71" s="21"/>
      <c r="G71" s="10"/>
    </row>
    <row r="72" spans="4:7" x14ac:dyDescent="0.35">
      <c r="D72" s="17">
        <v>7.9</v>
      </c>
      <c r="E72" s="18" t="s">
        <v>273</v>
      </c>
      <c r="F72" s="21"/>
      <c r="G72" s="10"/>
    </row>
    <row r="73" spans="4:7" x14ac:dyDescent="0.35">
      <c r="D73" s="19">
        <v>7.1</v>
      </c>
      <c r="E73" s="18" t="s">
        <v>275</v>
      </c>
      <c r="F73" s="21"/>
    </row>
    <row r="74" spans="4:7" x14ac:dyDescent="0.35">
      <c r="D74" s="17">
        <v>7.11</v>
      </c>
      <c r="E74" s="18" t="s">
        <v>277</v>
      </c>
      <c r="F74" s="21"/>
      <c r="G74" s="10"/>
    </row>
    <row r="75" spans="4:7" x14ac:dyDescent="0.35">
      <c r="D75" s="17">
        <v>7.12</v>
      </c>
      <c r="E75" s="18" t="s">
        <v>280</v>
      </c>
      <c r="F75" s="21"/>
      <c r="G75" s="10"/>
    </row>
    <row r="76" spans="4:7" x14ac:dyDescent="0.35">
      <c r="D76" s="17">
        <v>7.13</v>
      </c>
      <c r="E76" s="18" t="s">
        <v>283</v>
      </c>
      <c r="F76" s="21"/>
      <c r="G76" s="10"/>
    </row>
    <row r="77" spans="4:7" x14ac:dyDescent="0.35">
      <c r="D77" s="17">
        <v>7.14</v>
      </c>
      <c r="E77" s="18" t="s">
        <v>286</v>
      </c>
      <c r="F77" s="21"/>
      <c r="G77" s="10"/>
    </row>
    <row r="78" spans="4:7" x14ac:dyDescent="0.35">
      <c r="D78" s="40"/>
      <c r="E78" s="37" t="s">
        <v>14</v>
      </c>
      <c r="F78" s="21"/>
      <c r="G78" s="10"/>
    </row>
    <row r="79" spans="4:7" x14ac:dyDescent="0.35">
      <c r="D79" s="32">
        <v>8</v>
      </c>
      <c r="E79" s="31" t="s">
        <v>17</v>
      </c>
      <c r="F79" s="8"/>
      <c r="G79" s="11" t="s">
        <v>13</v>
      </c>
    </row>
    <row r="80" spans="4:7" x14ac:dyDescent="0.35">
      <c r="D80" s="38">
        <v>8.1</v>
      </c>
      <c r="E80" s="18" t="s">
        <v>21</v>
      </c>
      <c r="F80" s="21"/>
      <c r="G80" s="10"/>
    </row>
    <row r="81" spans="4:7" x14ac:dyDescent="0.35">
      <c r="D81" s="38">
        <v>8.1999999999999993</v>
      </c>
      <c r="E81" s="18" t="s">
        <v>25</v>
      </c>
      <c r="F81" s="21"/>
      <c r="G81" s="10"/>
    </row>
    <row r="82" spans="4:7" x14ac:dyDescent="0.35">
      <c r="D82" s="38">
        <v>8.3000000000000007</v>
      </c>
      <c r="E82" s="18" t="s">
        <v>29</v>
      </c>
      <c r="F82" s="21"/>
      <c r="G82" s="10"/>
    </row>
    <row r="83" spans="4:7" x14ac:dyDescent="0.35">
      <c r="D83" s="38">
        <v>8.4</v>
      </c>
      <c r="E83" s="18" t="s">
        <v>33</v>
      </c>
      <c r="F83" s="21"/>
      <c r="G83" s="10"/>
    </row>
    <row r="84" spans="4:7" ht="15" customHeight="1" x14ac:dyDescent="0.35">
      <c r="D84" s="38">
        <v>8.5</v>
      </c>
      <c r="E84" s="18" t="s">
        <v>37</v>
      </c>
      <c r="F84" s="21"/>
      <c r="G84" s="10"/>
    </row>
    <row r="85" spans="4:7" x14ac:dyDescent="0.35">
      <c r="D85" s="38">
        <v>8.6</v>
      </c>
      <c r="E85" s="18" t="s">
        <v>41</v>
      </c>
      <c r="F85" s="21"/>
      <c r="G85" s="10"/>
    </row>
    <row r="86" spans="4:7" x14ac:dyDescent="0.35">
      <c r="D86" s="38">
        <v>8.6999999999999993</v>
      </c>
      <c r="E86" s="18" t="s">
        <v>45</v>
      </c>
      <c r="F86" s="21"/>
      <c r="G86" s="10"/>
    </row>
    <row r="87" spans="4:7" ht="15" customHeight="1" x14ac:dyDescent="0.35">
      <c r="D87" s="38">
        <v>8.8000000000000007</v>
      </c>
      <c r="E87" s="18" t="s">
        <v>604</v>
      </c>
      <c r="F87" s="21"/>
      <c r="G87" s="10"/>
    </row>
    <row r="88" spans="4:7" x14ac:dyDescent="0.35">
      <c r="D88" s="38">
        <v>8.9</v>
      </c>
      <c r="E88" s="18" t="s">
        <v>55</v>
      </c>
      <c r="F88" s="8"/>
      <c r="G88" s="10"/>
    </row>
    <row r="89" spans="4:7" x14ac:dyDescent="0.35">
      <c r="D89" s="20">
        <v>8.1</v>
      </c>
      <c r="E89" s="18" t="s">
        <v>61</v>
      </c>
      <c r="F89" s="21"/>
      <c r="G89" s="10"/>
    </row>
    <row r="90" spans="4:7" x14ac:dyDescent="0.35">
      <c r="D90" s="38">
        <v>8.11</v>
      </c>
      <c r="E90" s="18" t="s">
        <v>65</v>
      </c>
      <c r="F90" s="21"/>
      <c r="G90" s="10"/>
    </row>
    <row r="91" spans="4:7" x14ac:dyDescent="0.35">
      <c r="D91" s="38">
        <v>8.1199999999999992</v>
      </c>
      <c r="E91" s="18" t="s">
        <v>68</v>
      </c>
      <c r="F91" s="21"/>
      <c r="G91" s="10"/>
    </row>
    <row r="92" spans="4:7" x14ac:dyDescent="0.35">
      <c r="D92" s="32">
        <v>9</v>
      </c>
      <c r="E92" s="31" t="s">
        <v>76</v>
      </c>
      <c r="F92" s="21"/>
      <c r="G92" s="10"/>
    </row>
    <row r="93" spans="4:7" x14ac:dyDescent="0.35">
      <c r="D93" s="38">
        <v>9.1</v>
      </c>
      <c r="E93" s="18" t="s">
        <v>80</v>
      </c>
      <c r="F93" s="21"/>
      <c r="G93" s="10"/>
    </row>
    <row r="94" spans="4:7" x14ac:dyDescent="0.35">
      <c r="D94" s="38">
        <v>9.1999999999999993</v>
      </c>
      <c r="E94" s="18" t="s">
        <v>84</v>
      </c>
      <c r="F94" s="21"/>
      <c r="G94" s="10"/>
    </row>
    <row r="95" spans="4:7" x14ac:dyDescent="0.35">
      <c r="D95" s="38">
        <v>9.3000000000000007</v>
      </c>
      <c r="E95" s="18" t="s">
        <v>88</v>
      </c>
      <c r="F95" s="8"/>
      <c r="G95" s="10"/>
    </row>
    <row r="96" spans="4:7" x14ac:dyDescent="0.35">
      <c r="D96" s="38">
        <v>9.4</v>
      </c>
      <c r="E96" s="18" t="s">
        <v>91</v>
      </c>
      <c r="F96" s="8"/>
      <c r="G96" s="10"/>
    </row>
    <row r="97" spans="4:7" x14ac:dyDescent="0.35">
      <c r="D97" s="38">
        <v>9.5</v>
      </c>
      <c r="E97" s="18" t="s">
        <v>96</v>
      </c>
      <c r="F97" s="5"/>
      <c r="G97" s="10"/>
    </row>
    <row r="98" spans="4:7" x14ac:dyDescent="0.35">
      <c r="D98" s="38">
        <v>9.6</v>
      </c>
      <c r="E98" s="18" t="s">
        <v>101</v>
      </c>
      <c r="F98" s="5"/>
      <c r="G98" s="10"/>
    </row>
    <row r="99" spans="4:7" x14ac:dyDescent="0.35">
      <c r="D99" s="38">
        <v>9.6999999999999993</v>
      </c>
      <c r="E99" s="18" t="s">
        <v>107</v>
      </c>
      <c r="F99" s="5"/>
      <c r="G99" s="10"/>
    </row>
    <row r="100" spans="4:7" x14ac:dyDescent="0.35">
      <c r="D100" s="38">
        <v>9.8000000000000007</v>
      </c>
      <c r="E100" s="18" t="s">
        <v>113</v>
      </c>
      <c r="F100" s="5"/>
      <c r="G100" s="10"/>
    </row>
    <row r="101" spans="4:7" x14ac:dyDescent="0.35">
      <c r="D101" s="32">
        <v>10</v>
      </c>
      <c r="E101" s="31" t="s">
        <v>122</v>
      </c>
      <c r="F101" s="5"/>
    </row>
    <row r="102" spans="4:7" x14ac:dyDescent="0.35">
      <c r="D102" s="38">
        <v>10.1</v>
      </c>
      <c r="E102" s="18" t="s">
        <v>124</v>
      </c>
      <c r="F102" s="5"/>
      <c r="G102" s="10"/>
    </row>
    <row r="103" spans="4:7" x14ac:dyDescent="0.35">
      <c r="D103" s="38">
        <v>10.199999999999999</v>
      </c>
      <c r="E103" s="18" t="s">
        <v>127</v>
      </c>
      <c r="F103" s="5"/>
      <c r="G103" s="10"/>
    </row>
    <row r="104" spans="4:7" x14ac:dyDescent="0.35">
      <c r="D104" s="38">
        <v>10.3</v>
      </c>
      <c r="E104" s="18" t="s">
        <v>130</v>
      </c>
      <c r="F104" s="5"/>
      <c r="G104" s="10"/>
    </row>
    <row r="105" spans="4:7" x14ac:dyDescent="0.35">
      <c r="D105" s="38">
        <v>10.4</v>
      </c>
      <c r="E105" s="18" t="s">
        <v>132</v>
      </c>
      <c r="F105" s="5"/>
      <c r="G105" s="10"/>
    </row>
    <row r="106" spans="4:7" x14ac:dyDescent="0.35">
      <c r="D106" s="38">
        <v>10.5</v>
      </c>
      <c r="E106" s="18" t="s">
        <v>135</v>
      </c>
      <c r="F106" s="5"/>
      <c r="G106" s="11"/>
    </row>
    <row r="107" spans="4:7" x14ac:dyDescent="0.35">
      <c r="D107" s="38">
        <v>10.6</v>
      </c>
      <c r="E107" s="18" t="s">
        <v>138</v>
      </c>
      <c r="F107" s="5"/>
      <c r="G107" s="10"/>
    </row>
    <row r="108" spans="4:7" x14ac:dyDescent="0.35">
      <c r="D108" s="38">
        <v>10.7</v>
      </c>
      <c r="E108" s="18" t="s">
        <v>141</v>
      </c>
      <c r="F108" s="5"/>
      <c r="G108" s="10"/>
    </row>
    <row r="109" spans="4:7" x14ac:dyDescent="0.35">
      <c r="D109" s="38">
        <v>10.8</v>
      </c>
      <c r="E109" s="18" t="s">
        <v>144</v>
      </c>
      <c r="F109" s="5"/>
      <c r="G109" s="10"/>
    </row>
    <row r="110" spans="4:7" x14ac:dyDescent="0.35">
      <c r="D110" s="38">
        <v>10.9</v>
      </c>
      <c r="E110" s="18" t="s">
        <v>147</v>
      </c>
      <c r="F110" s="5"/>
      <c r="G110" s="10"/>
    </row>
    <row r="111" spans="4:7" x14ac:dyDescent="0.35">
      <c r="D111" s="20">
        <v>10.1</v>
      </c>
      <c r="E111" s="18" t="s">
        <v>150</v>
      </c>
      <c r="F111" s="5"/>
      <c r="G111" s="10"/>
    </row>
    <row r="112" spans="4:7" x14ac:dyDescent="0.35">
      <c r="D112" s="38">
        <v>10.11</v>
      </c>
      <c r="E112" s="18" t="s">
        <v>153</v>
      </c>
      <c r="F112" s="5"/>
      <c r="G112" s="10"/>
    </row>
    <row r="113" spans="4:7" x14ac:dyDescent="0.35">
      <c r="D113" s="38">
        <v>10.119999999999999</v>
      </c>
      <c r="E113" s="18" t="s">
        <v>156</v>
      </c>
      <c r="F113" s="5"/>
      <c r="G113" s="10"/>
    </row>
    <row r="114" spans="4:7" x14ac:dyDescent="0.35">
      <c r="D114" s="32">
        <v>11</v>
      </c>
      <c r="E114" s="31" t="s">
        <v>160</v>
      </c>
      <c r="F114" s="5"/>
      <c r="G114" s="10"/>
    </row>
    <row r="115" spans="4:7" x14ac:dyDescent="0.35">
      <c r="D115" s="33">
        <v>11.1</v>
      </c>
      <c r="E115" s="34" t="s">
        <v>162</v>
      </c>
      <c r="F115" s="5"/>
      <c r="G115" s="10"/>
    </row>
    <row r="116" spans="4:7" x14ac:dyDescent="0.35">
      <c r="D116" s="38" t="s">
        <v>165</v>
      </c>
      <c r="E116" s="18" t="s">
        <v>166</v>
      </c>
      <c r="F116" s="5"/>
      <c r="G116" s="10"/>
    </row>
    <row r="117" spans="4:7" x14ac:dyDescent="0.35">
      <c r="D117" s="38" t="s">
        <v>169</v>
      </c>
      <c r="E117" s="18" t="s">
        <v>170</v>
      </c>
      <c r="F117" s="5"/>
      <c r="G117" s="10"/>
    </row>
    <row r="118" spans="4:7" x14ac:dyDescent="0.35">
      <c r="D118" s="38" t="s">
        <v>173</v>
      </c>
      <c r="E118" s="18" t="s">
        <v>174</v>
      </c>
      <c r="F118" s="5"/>
      <c r="G118" s="10"/>
    </row>
    <row r="119" spans="4:7" x14ac:dyDescent="0.35">
      <c r="D119" s="38" t="s">
        <v>177</v>
      </c>
      <c r="E119" s="18" t="s">
        <v>178</v>
      </c>
      <c r="F119" s="5"/>
      <c r="G119" s="10"/>
    </row>
    <row r="120" spans="4:7" x14ac:dyDescent="0.35">
      <c r="D120" s="33">
        <v>11.2</v>
      </c>
      <c r="E120" s="34" t="s">
        <v>181</v>
      </c>
      <c r="F120" s="5"/>
      <c r="G120" s="10"/>
    </row>
    <row r="121" spans="4:7" x14ac:dyDescent="0.35">
      <c r="D121" s="38" t="s">
        <v>184</v>
      </c>
      <c r="E121" s="18" t="s">
        <v>185</v>
      </c>
      <c r="F121" s="5"/>
      <c r="G121" s="10"/>
    </row>
    <row r="122" spans="4:7" x14ac:dyDescent="0.35">
      <c r="D122" s="38" t="s">
        <v>188</v>
      </c>
      <c r="E122" s="18" t="s">
        <v>189</v>
      </c>
      <c r="F122" s="5"/>
      <c r="G122" s="11"/>
    </row>
    <row r="123" spans="4:7" x14ac:dyDescent="0.35">
      <c r="D123" s="38" t="s">
        <v>192</v>
      </c>
      <c r="E123" s="18" t="s">
        <v>193</v>
      </c>
      <c r="F123" s="5"/>
      <c r="G123" s="10"/>
    </row>
    <row r="124" spans="4:7" x14ac:dyDescent="0.35">
      <c r="D124" s="32">
        <v>12</v>
      </c>
      <c r="E124" s="31" t="s">
        <v>198</v>
      </c>
      <c r="F124" s="5"/>
      <c r="G124" s="10"/>
    </row>
    <row r="125" spans="4:7" x14ac:dyDescent="0.35">
      <c r="D125" s="38">
        <v>12.1</v>
      </c>
      <c r="E125" s="18" t="s">
        <v>200</v>
      </c>
      <c r="F125" s="5"/>
      <c r="G125" s="10"/>
    </row>
    <row r="126" spans="4:7" x14ac:dyDescent="0.35">
      <c r="D126" s="38">
        <v>12.2</v>
      </c>
      <c r="E126" s="18" t="s">
        <v>203</v>
      </c>
      <c r="F126" s="5"/>
      <c r="G126" s="10"/>
    </row>
    <row r="127" spans="4:7" x14ac:dyDescent="0.35">
      <c r="D127" s="38">
        <v>12.3</v>
      </c>
      <c r="E127" s="18" t="s">
        <v>205</v>
      </c>
      <c r="F127" s="5"/>
      <c r="G127" s="10"/>
    </row>
    <row r="128" spans="4:7" x14ac:dyDescent="0.35">
      <c r="D128" s="38">
        <v>12.4</v>
      </c>
      <c r="E128" s="18" t="s">
        <v>208</v>
      </c>
      <c r="F128" s="5"/>
      <c r="G128" s="11"/>
    </row>
    <row r="129" spans="4:7" x14ac:dyDescent="0.35">
      <c r="D129" s="38">
        <v>12.5</v>
      </c>
      <c r="E129" s="18" t="s">
        <v>210</v>
      </c>
      <c r="F129" s="5"/>
      <c r="G129" s="10"/>
    </row>
    <row r="130" spans="4:7" x14ac:dyDescent="0.35">
      <c r="D130" s="38">
        <v>12.6</v>
      </c>
      <c r="E130" s="18" t="s">
        <v>213</v>
      </c>
      <c r="F130" s="5"/>
      <c r="G130" s="10"/>
    </row>
    <row r="131" spans="4:7" x14ac:dyDescent="0.35">
      <c r="D131" s="38">
        <v>12.7</v>
      </c>
      <c r="E131" s="18" t="s">
        <v>216</v>
      </c>
      <c r="F131" s="5"/>
      <c r="G131" s="10"/>
    </row>
    <row r="132" spans="4:7" x14ac:dyDescent="0.35">
      <c r="D132" s="32">
        <v>13</v>
      </c>
      <c r="E132" s="31" t="s">
        <v>220</v>
      </c>
      <c r="F132" s="5"/>
      <c r="G132" s="10"/>
    </row>
    <row r="133" spans="4:7" x14ac:dyDescent="0.35">
      <c r="D133" s="33">
        <v>13.1</v>
      </c>
      <c r="E133" s="34" t="s">
        <v>223</v>
      </c>
      <c r="F133" s="5"/>
    </row>
    <row r="134" spans="4:7" x14ac:dyDescent="0.35">
      <c r="D134" s="38" t="s">
        <v>225</v>
      </c>
      <c r="E134" s="18" t="s">
        <v>226</v>
      </c>
      <c r="F134" s="5"/>
      <c r="G134" s="10"/>
    </row>
    <row r="135" spans="4:7" x14ac:dyDescent="0.35">
      <c r="D135" s="38" t="s">
        <v>228</v>
      </c>
      <c r="E135" s="18" t="s">
        <v>229</v>
      </c>
      <c r="F135" s="5"/>
      <c r="G135" s="10"/>
    </row>
    <row r="136" spans="4:7" x14ac:dyDescent="0.35">
      <c r="D136" s="38" t="s">
        <v>232</v>
      </c>
      <c r="E136" s="18" t="s">
        <v>233</v>
      </c>
      <c r="F136" s="5"/>
      <c r="G136" s="10"/>
    </row>
    <row r="137" spans="4:7" x14ac:dyDescent="0.35">
      <c r="D137" s="38" t="s">
        <v>235</v>
      </c>
      <c r="E137" s="18" t="s">
        <v>236</v>
      </c>
      <c r="F137" s="5"/>
      <c r="G137" s="10"/>
    </row>
    <row r="138" spans="4:7" x14ac:dyDescent="0.35">
      <c r="D138" s="33">
        <v>13.2</v>
      </c>
      <c r="E138" s="34" t="s">
        <v>394</v>
      </c>
      <c r="F138" s="5"/>
      <c r="G138" s="10"/>
    </row>
    <row r="139" spans="4:7" x14ac:dyDescent="0.35">
      <c r="D139" s="38" t="s">
        <v>240</v>
      </c>
      <c r="E139" s="18" t="s">
        <v>241</v>
      </c>
      <c r="F139" s="5"/>
      <c r="G139" s="10"/>
    </row>
    <row r="140" spans="4:7" x14ac:dyDescent="0.35">
      <c r="D140" s="38" t="s">
        <v>244</v>
      </c>
      <c r="E140" s="18" t="s">
        <v>245</v>
      </c>
      <c r="F140" s="5"/>
      <c r="G140" s="10"/>
    </row>
    <row r="141" spans="4:7" x14ac:dyDescent="0.35">
      <c r="D141" s="38" t="s">
        <v>248</v>
      </c>
      <c r="E141" s="18" t="s">
        <v>249</v>
      </c>
      <c r="F141" s="5"/>
      <c r="G141" s="10"/>
    </row>
    <row r="142" spans="4:7" x14ac:dyDescent="0.35">
      <c r="D142" s="38" t="s">
        <v>252</v>
      </c>
      <c r="E142" s="18" t="s">
        <v>253</v>
      </c>
      <c r="F142" s="5"/>
      <c r="G142" s="10"/>
    </row>
    <row r="143" spans="4:7" x14ac:dyDescent="0.35">
      <c r="D143" s="38" t="s">
        <v>256</v>
      </c>
      <c r="E143" s="18" t="s">
        <v>395</v>
      </c>
      <c r="F143" s="5"/>
      <c r="G143" s="10"/>
    </row>
    <row r="144" spans="4:7" x14ac:dyDescent="0.35">
      <c r="D144" s="33">
        <v>13.3</v>
      </c>
      <c r="E144" s="34" t="s">
        <v>259</v>
      </c>
      <c r="F144" s="5"/>
      <c r="G144" s="10"/>
    </row>
    <row r="145" spans="4:7" x14ac:dyDescent="0.35">
      <c r="D145" s="38" t="s">
        <v>262</v>
      </c>
      <c r="E145" s="18" t="s">
        <v>263</v>
      </c>
      <c r="F145" s="5"/>
      <c r="G145" s="10"/>
    </row>
    <row r="146" spans="4:7" x14ac:dyDescent="0.35">
      <c r="D146" s="38" t="s">
        <v>266</v>
      </c>
      <c r="E146" s="18" t="s">
        <v>267</v>
      </c>
      <c r="F146" s="5"/>
      <c r="G146" s="10"/>
    </row>
    <row r="147" spans="4:7" x14ac:dyDescent="0.35">
      <c r="D147" s="38" t="s">
        <v>270</v>
      </c>
      <c r="E147" s="18" t="s">
        <v>271</v>
      </c>
      <c r="F147" s="5"/>
      <c r="G147" s="10"/>
    </row>
    <row r="148" spans="4:7" x14ac:dyDescent="0.35">
      <c r="D148" s="32">
        <v>14</v>
      </c>
      <c r="E148" s="31" t="s">
        <v>276</v>
      </c>
      <c r="F148" s="5"/>
      <c r="G148" s="10"/>
    </row>
    <row r="149" spans="4:7" x14ac:dyDescent="0.35">
      <c r="D149" s="38">
        <v>14.1</v>
      </c>
      <c r="E149" s="18" t="s">
        <v>278</v>
      </c>
      <c r="F149" s="5"/>
      <c r="G149" s="10"/>
    </row>
    <row r="150" spans="4:7" x14ac:dyDescent="0.35">
      <c r="D150" s="38">
        <v>14.2</v>
      </c>
      <c r="E150" s="18" t="s">
        <v>281</v>
      </c>
      <c r="F150" s="5"/>
      <c r="G150" s="10"/>
    </row>
    <row r="151" spans="4:7" x14ac:dyDescent="0.35">
      <c r="D151" s="38">
        <v>14.3</v>
      </c>
      <c r="E151" s="18" t="s">
        <v>284</v>
      </c>
      <c r="F151" s="5"/>
      <c r="G151" s="10"/>
    </row>
    <row r="152" spans="4:7" x14ac:dyDescent="0.35">
      <c r="D152" s="38">
        <v>14.4</v>
      </c>
      <c r="E152" s="18" t="s">
        <v>287</v>
      </c>
      <c r="F152" s="5"/>
      <c r="G152" s="10"/>
    </row>
    <row r="153" spans="4:7" x14ac:dyDescent="0.35">
      <c r="D153" s="38">
        <v>14.5</v>
      </c>
      <c r="E153" s="18" t="s">
        <v>289</v>
      </c>
      <c r="F153" s="5"/>
      <c r="G153" s="10"/>
    </row>
    <row r="154" spans="4:7" x14ac:dyDescent="0.35">
      <c r="D154" s="38">
        <v>14.6</v>
      </c>
      <c r="E154" s="18" t="s">
        <v>291</v>
      </c>
      <c r="F154" s="5"/>
      <c r="G154" s="10"/>
    </row>
    <row r="155" spans="4:7" x14ac:dyDescent="0.35">
      <c r="D155" s="38">
        <v>14.7</v>
      </c>
      <c r="E155" s="18" t="s">
        <v>293</v>
      </c>
      <c r="F155" s="5"/>
      <c r="G155" s="10"/>
    </row>
    <row r="156" spans="4:7" x14ac:dyDescent="0.35">
      <c r="D156" s="32">
        <v>15</v>
      </c>
      <c r="E156" s="31" t="s">
        <v>296</v>
      </c>
      <c r="F156" s="5"/>
      <c r="G156" s="10"/>
    </row>
    <row r="157" spans="4:7" x14ac:dyDescent="0.35">
      <c r="D157" s="33">
        <v>15.1</v>
      </c>
      <c r="E157" s="34" t="s">
        <v>297</v>
      </c>
      <c r="F157" s="5"/>
      <c r="G157" s="10"/>
    </row>
    <row r="158" spans="4:7" x14ac:dyDescent="0.35">
      <c r="D158" s="38" t="s">
        <v>299</v>
      </c>
      <c r="E158" s="18" t="s">
        <v>300</v>
      </c>
      <c r="F158" s="5"/>
      <c r="G158" s="10"/>
    </row>
    <row r="159" spans="4:7" x14ac:dyDescent="0.35">
      <c r="D159" s="38" t="s">
        <v>302</v>
      </c>
      <c r="E159" s="18" t="s">
        <v>303</v>
      </c>
      <c r="F159" s="5"/>
      <c r="G159" s="10"/>
    </row>
    <row r="160" spans="4:7" x14ac:dyDescent="0.35">
      <c r="D160" s="33">
        <v>15.2</v>
      </c>
      <c r="E160" s="34" t="s">
        <v>305</v>
      </c>
      <c r="F160" s="5"/>
      <c r="G160" s="10"/>
    </row>
    <row r="161" spans="4:7" x14ac:dyDescent="0.35">
      <c r="D161" s="38" t="s">
        <v>307</v>
      </c>
      <c r="E161" s="18" t="s">
        <v>308</v>
      </c>
      <c r="F161" s="5"/>
    </row>
    <row r="162" spans="4:7" x14ac:dyDescent="0.35">
      <c r="D162" s="38" t="s">
        <v>310</v>
      </c>
      <c r="E162" s="18" t="s">
        <v>311</v>
      </c>
      <c r="F162" s="5"/>
      <c r="G162" s="10"/>
    </row>
    <row r="163" spans="4:7" x14ac:dyDescent="0.35">
      <c r="F163" s="5"/>
    </row>
    <row r="164" spans="4:7" x14ac:dyDescent="0.35">
      <c r="F164" s="5"/>
    </row>
    <row r="165" spans="4:7" x14ac:dyDescent="0.35">
      <c r="F165" s="5"/>
    </row>
    <row r="166" spans="4:7" x14ac:dyDescent="0.35">
      <c r="F166" s="5"/>
    </row>
    <row r="167" spans="4:7" x14ac:dyDescent="0.35">
      <c r="F167" s="5"/>
    </row>
    <row r="168" spans="4:7" x14ac:dyDescent="0.35">
      <c r="F168" s="5"/>
    </row>
    <row r="169" spans="4:7" x14ac:dyDescent="0.35">
      <c r="F169" s="5"/>
    </row>
    <row r="170" spans="4:7" x14ac:dyDescent="0.35">
      <c r="F170" s="5"/>
    </row>
    <row r="171" spans="4:7" x14ac:dyDescent="0.35">
      <c r="F171" s="5"/>
    </row>
    <row r="172" spans="4:7" x14ac:dyDescent="0.35">
      <c r="F172" s="5"/>
    </row>
    <row r="173" spans="4:7" x14ac:dyDescent="0.35">
      <c r="F173" s="5"/>
    </row>
    <row r="174" spans="4:7" x14ac:dyDescent="0.35">
      <c r="F174" s="5"/>
    </row>
    <row r="175" spans="4:7" x14ac:dyDescent="0.35">
      <c r="F175" s="5"/>
    </row>
    <row r="176" spans="4:7" x14ac:dyDescent="0.35">
      <c r="F176" s="5"/>
    </row>
    <row r="177" spans="6:6" x14ac:dyDescent="0.35">
      <c r="F177" s="5"/>
    </row>
    <row r="178" spans="6:6" x14ac:dyDescent="0.35">
      <c r="F178" s="5"/>
    </row>
    <row r="179" spans="6:6" x14ac:dyDescent="0.35">
      <c r="F179" s="5"/>
    </row>
    <row r="180" spans="6:6" x14ac:dyDescent="0.35">
      <c r="F180" s="5"/>
    </row>
    <row r="181" spans="6:6" x14ac:dyDescent="0.35">
      <c r="F181" s="5"/>
    </row>
    <row r="182" spans="6:6" x14ac:dyDescent="0.35">
      <c r="F182" s="5"/>
    </row>
    <row r="183" spans="6:6" x14ac:dyDescent="0.35">
      <c r="F183" s="5"/>
    </row>
    <row r="184" spans="6:6" x14ac:dyDescent="0.35">
      <c r="F184" s="5"/>
    </row>
  </sheetData>
  <sheetProtection password="D81E" sheet="1" objects="1" scenarios="1"/>
  <mergeCells count="2">
    <mergeCell ref="A2:B2"/>
    <mergeCell ref="D2:E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44C1F890FCF34BA30D378D3367D63B" ma:contentTypeVersion="13" ma:contentTypeDescription="Crear nuevo documento." ma:contentTypeScope="" ma:versionID="22c88173e6d2a076a971b39a2faa4e23">
  <xsd:schema xmlns:xsd="http://www.w3.org/2001/XMLSchema" xmlns:xs="http://www.w3.org/2001/XMLSchema" xmlns:p="http://schemas.microsoft.com/office/2006/metadata/properties" xmlns:ns3="c039d5ce-a415-4a5e-b4fe-9520c78c43c3" xmlns:ns4="fcb16455-6622-4065-81a7-84fea1f9c666" targetNamespace="http://schemas.microsoft.com/office/2006/metadata/properties" ma:root="true" ma:fieldsID="dd62c2bcfd6751c569a4b8d22a7ba344" ns3:_="" ns4:_="">
    <xsd:import namespace="c039d5ce-a415-4a5e-b4fe-9520c78c43c3"/>
    <xsd:import namespace="fcb16455-6622-4065-81a7-84fea1f9c6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9d5ce-a415-4a5e-b4fe-9520c78c43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b16455-6622-4065-81a7-84fea1f9c66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2D343A-F610-42B3-83A0-EEB5E4786A2A}">
  <ds:schemaRefs>
    <ds:schemaRef ds:uri="http://purl.org/dc/dcmitype/"/>
    <ds:schemaRef ds:uri="http://schemas.microsoft.com/office/2006/documentManagement/types"/>
    <ds:schemaRef ds:uri="http://purl.org/dc/elements/1.1/"/>
    <ds:schemaRef ds:uri="c039d5ce-a415-4a5e-b4fe-9520c78c43c3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fcb16455-6622-4065-81a7-84fea1f9c66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BA01D47-E7F6-48AD-8D5C-202680BAB1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89C8EF-CFF0-4606-955D-42F7AEA2B2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39d5ce-a415-4a5e-b4fe-9520c78c43c3"/>
    <ds:schemaRef ds:uri="fcb16455-6622-4065-81a7-84fea1f9c6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IFIA</vt:lpstr>
      <vt:lpstr>Tablas</vt:lpstr>
      <vt:lpstr>Causas</vt:lpstr>
      <vt:lpstr>IFIA!Área_de_impresión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Valencia</dc:creator>
  <cp:lastModifiedBy>u201511334 (Ore Huaman, Kevin Derik)</cp:lastModifiedBy>
  <cp:lastPrinted>2019-12-17T13:16:08Z</cp:lastPrinted>
  <dcterms:created xsi:type="dcterms:W3CDTF">2019-12-03T21:15:16Z</dcterms:created>
  <dcterms:modified xsi:type="dcterms:W3CDTF">2025-10-03T19:34:16Z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0x0101001A44C1F890FCF34BA30D378D3367D63B</vt:lpwstr>
  </property>
</Properties>
</file>