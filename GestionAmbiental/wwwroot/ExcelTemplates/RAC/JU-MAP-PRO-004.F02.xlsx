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Data\Marcobre\Marcobre-GestionAmbiental\GestionAmbiental\wwwroot\ExcelTemplates\RAC\"/>
    </mc:Choice>
  </mc:AlternateContent>
  <xr:revisionPtr revIDLastSave="0" documentId="13_ncr:1_{88C23DDC-6C06-442E-9303-350A8D173953}" xr6:coauthVersionLast="44" xr6:coauthVersionMax="45" xr10:uidLastSave="{00000000-0000-0000-0000-000000000000}"/>
  <bookViews>
    <workbookView xWindow="3036" yWindow="3036" windowWidth="17280" windowHeight="8964" firstSheet="1" activeTab="1" xr2:uid="{00000000-000D-0000-FFFF-FFFF00000000}"/>
  </bookViews>
  <sheets>
    <sheet name="DATOS" sheetId="2" state="hidden" r:id="rId1"/>
    <sheet name="RAC" sheetId="1" r:id="rId2"/>
  </sheets>
  <definedNames>
    <definedName name="_xlnm.Print_Area" localSheetId="1">RAC!$B$2:$P$29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3" i="2" l="1"/>
  <c r="J22" i="2"/>
  <c r="J24" i="2" l="1"/>
  <c r="J25" i="2"/>
  <c r="J26" i="2"/>
  <c r="J27" i="2"/>
  <c r="J28" i="2"/>
  <c r="J29" i="2"/>
  <c r="J30" i="2"/>
  <c r="J31" i="2"/>
  <c r="J32" i="2"/>
  <c r="J33" i="2"/>
  <c r="J34" i="2"/>
  <c r="J13" i="2"/>
  <c r="J14" i="2"/>
  <c r="J15" i="2"/>
  <c r="J16" i="2"/>
  <c r="J17" i="2"/>
  <c r="J18" i="2"/>
  <c r="J19" i="2"/>
  <c r="J20" i="2"/>
  <c r="J21" i="2"/>
  <c r="J12" i="2"/>
  <c r="B5" i="2"/>
  <c r="B8" i="2"/>
  <c r="AQ5" i="2" l="1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AP5" i="2"/>
  <c r="AO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C5" i="2"/>
  <c r="A5" i="2"/>
  <c r="G8" i="2" l="1"/>
  <c r="F8" i="2"/>
  <c r="E8" i="2"/>
  <c r="D8" i="2"/>
  <c r="C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Valencia</author>
  </authors>
  <commentList>
    <comment ref="J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En caso no encuentre la empresa en la lista, ingresar en esta celda el nombre de la empresa observada.</t>
        </r>
      </text>
    </comment>
    <comment ref="J1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Ingresar en el formato dd/mm/aaaa</t>
        </r>
      </text>
    </comment>
    <comment ref="O1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SGA:</t>
        </r>
        <r>
          <rPr>
            <sz val="9"/>
            <color indexed="81"/>
            <rFont val="Tahoma"/>
            <family val="2"/>
          </rPr>
          <t xml:space="preserve">
ingresar en el formato de 24 horas.
Ejm: 15:40</t>
        </r>
      </text>
    </comment>
    <comment ref="J2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 xml:space="preserve">SGA:
</t>
        </r>
        <r>
          <rPr>
            <sz val="9"/>
            <color indexed="81"/>
            <rFont val="Tahoma"/>
            <family val="2"/>
          </rPr>
          <t>Ingresar en el formato dd/mm/aaaa</t>
        </r>
      </text>
    </comment>
  </commentList>
</comments>
</file>

<file path=xl/sharedStrings.xml><?xml version="1.0" encoding="utf-8"?>
<sst xmlns="http://schemas.openxmlformats.org/spreadsheetml/2006/main" count="224" uniqueCount="221">
  <si>
    <t>Área: Medio Ambiente y Permisos</t>
  </si>
  <si>
    <t>Acto Subestándar</t>
  </si>
  <si>
    <t>Condición Subestándar</t>
  </si>
  <si>
    <t>Empresa:</t>
  </si>
  <si>
    <t>Fecha:</t>
  </si>
  <si>
    <t>Hora:</t>
  </si>
  <si>
    <t>DATOS DEL PERSONAL QUE REPORTA</t>
  </si>
  <si>
    <t>Nombre y Apellidos:</t>
  </si>
  <si>
    <t>ABENGOA</t>
  </si>
  <si>
    <t>ANGELES</t>
  </si>
  <si>
    <t>APC</t>
  </si>
  <si>
    <t>ARCE GEOFÍSICOS</t>
  </si>
  <si>
    <t>AUSENCO</t>
  </si>
  <si>
    <t>CCICSK</t>
  </si>
  <si>
    <t>CLÍNICA INTERNACIONAL</t>
  </si>
  <si>
    <t>COMIN SAC</t>
  </si>
  <si>
    <t>ECOCENTURY</t>
  </si>
  <si>
    <t>EXPLOMIN</t>
  </si>
  <si>
    <t>EXSA</t>
  </si>
  <si>
    <t>FERREYROS</t>
  </si>
  <si>
    <t>FIRENO</t>
  </si>
  <si>
    <t>GYM</t>
  </si>
  <si>
    <t>HLC</t>
  </si>
  <si>
    <t>J&amp;V RESGUARDO</t>
  </si>
  <si>
    <t>LIPLATA</t>
  </si>
  <si>
    <t xml:space="preserve">MARCOBRE </t>
  </si>
  <si>
    <t>MINE SENSE</t>
  </si>
  <si>
    <t>MOTA ENGIL</t>
  </si>
  <si>
    <t>NEUMA</t>
  </si>
  <si>
    <t>PERVOL</t>
  </si>
  <si>
    <t>PROMCOSER</t>
  </si>
  <si>
    <t>PROMET</t>
  </si>
  <si>
    <t>SECURITY TECH</t>
  </si>
  <si>
    <t>SGS</t>
  </si>
  <si>
    <t>TECHINT</t>
  </si>
  <si>
    <t>TERRAMOVE</t>
  </si>
  <si>
    <t>UNICON</t>
  </si>
  <si>
    <t>ZAMINE</t>
  </si>
  <si>
    <t>Gerencia</t>
  </si>
  <si>
    <t>CRUZ DEL SUR</t>
  </si>
  <si>
    <t>MA</t>
  </si>
  <si>
    <t>GEOENGINEERING</t>
  </si>
  <si>
    <t>GMD S.A.</t>
  </si>
  <si>
    <t>GOLDER ASSOCIATES</t>
  </si>
  <si>
    <t>NEXCOM</t>
  </si>
  <si>
    <t>PRIMAX</t>
  </si>
  <si>
    <t>QUANTA</t>
  </si>
  <si>
    <t>SEGARME</t>
  </si>
  <si>
    <t>SOLTRAK</t>
  </si>
  <si>
    <t>VIVARGO</t>
  </si>
  <si>
    <t>OTRAS</t>
  </si>
  <si>
    <t>DISAL</t>
  </si>
  <si>
    <t>CELICOM</t>
  </si>
  <si>
    <t>CIZCORP</t>
  </si>
  <si>
    <t>SSO</t>
  </si>
  <si>
    <t>Nivel de riesgo:</t>
  </si>
  <si>
    <t>Clasificación:</t>
  </si>
  <si>
    <t>Nivel de  Riesgo:</t>
  </si>
  <si>
    <t>MAA01. Afectar a la flora/fauna/sitios arqueológicos.</t>
  </si>
  <si>
    <t>MAA02. Descargar aguas no autorizadas.</t>
  </si>
  <si>
    <t>MAA03. Generar material particulado (polvo).</t>
  </si>
  <si>
    <t>MAA04. Generar ruido ambiental molesto.</t>
  </si>
  <si>
    <t>MAA05. Quemar de residuos.</t>
  </si>
  <si>
    <t>MAA06. Realizar movimiento de tierras no autorizadas.</t>
  </si>
  <si>
    <t>MAA07. Realizar trabajos sin evaluación ambiental.</t>
  </si>
  <si>
    <t>MAA08. Realizar trabajos sin o con controles ambientales deficientes.</t>
  </si>
  <si>
    <t>MAA09. Regar vías con aguas fuera de los LMP.</t>
  </si>
  <si>
    <t>MAA10. Segregar incorrectamente los residuos.</t>
  </si>
  <si>
    <t>MAA11. Transitar por vías no autorizadas.</t>
  </si>
  <si>
    <t>MAA12. Usar áeras no autorizadas.</t>
  </si>
  <si>
    <t>MAA13. Usar materiales, herramientas defectuosos.</t>
  </si>
  <si>
    <t>MAA14. Usar productos químicos no evaluados.</t>
  </si>
  <si>
    <t>MAA15. Usar vehículos o equipos sin o con kit antiderrame inadecuado.</t>
  </si>
  <si>
    <t>MAA16. Otros actos ambientales subestándares.</t>
  </si>
  <si>
    <t>************************************</t>
  </si>
  <si>
    <t>MAC01. Acumulación de residuos en áeras no autorizadas.</t>
  </si>
  <si>
    <t>MAC02. Almacenamiento Inadecuado de Materiales o Productos.</t>
  </si>
  <si>
    <t>MAC03. Ausencia de MSDS.</t>
  </si>
  <si>
    <t>MAC04. Ausencia o mal estado de controles ambientales.</t>
  </si>
  <si>
    <t>MAC05. Ausencia/inadecuado sistema de contención (Picado, rajado, falta capacidad, etc).</t>
  </si>
  <si>
    <t>MAC06. Cilindros o contenedores de residuos complemente llenos.</t>
  </si>
  <si>
    <t>MAC07. Cilindros o contenedores de residuos fuera de estándar.</t>
  </si>
  <si>
    <t>MAC08. Déficit de cilindros para almacenar residuos.</t>
  </si>
  <si>
    <t>MAC09. Emanación de olores desagradables.</t>
  </si>
  <si>
    <t>MAC10. Equipo sin mantenimiento preventivo.</t>
  </si>
  <si>
    <t>MAC11. Falta de orden y limpieza en el áera de trabajo.</t>
  </si>
  <si>
    <t>MAC12. Falta o fuera de estándar del kit antiderrame.</t>
  </si>
  <si>
    <t>MAC13. Mangueras/Tuberías en mal estado.</t>
  </si>
  <si>
    <t>MAC14. Presencia de animales muertos.</t>
  </si>
  <si>
    <t>MAC15. Presencia de derrames en el área de trabajo.</t>
  </si>
  <si>
    <t>MAC16. Presencia de material particulado (polvo).</t>
  </si>
  <si>
    <t>MAC17. Presencia de ruido ambiental molesto.</t>
  </si>
  <si>
    <t>MAC18. Punto de acopio de residuos sólidos fuera de estándar.</t>
  </si>
  <si>
    <t>MAC19. Recipientes con riesgo de desborde.</t>
  </si>
  <si>
    <t>MAC20. Residuos mal segregados.</t>
  </si>
  <si>
    <t>MAC21. Otras condiciones ambientales subestánadares.</t>
  </si>
  <si>
    <t>SOA01. Operar equipo sin autorización.</t>
  </si>
  <si>
    <t>SOA02. Operar equipo a velocidad incorrecta.</t>
  </si>
  <si>
    <t>SOA03. Señalizar/avisar incorrectamente - No señalizar/avisar.</t>
  </si>
  <si>
    <t>SOA04. No Advertir.</t>
  </si>
  <si>
    <t>SOA05. Asegurar/bloquear incorrectamente - No asegurar/bloquear.</t>
  </si>
  <si>
    <t>SOA06. Desactivar dispositivos de seguridad.</t>
  </si>
  <si>
    <t>SOA07. Usar equipos defectuosos.</t>
  </si>
  <si>
    <t>SOA08. Usar incorrectamente EPP - No usar EPP.</t>
  </si>
  <si>
    <t>SOA09. Instalar carga de manera incorrecta.</t>
  </si>
  <si>
    <t>SOA10. Adoptar una ubicación incorrecta.</t>
  </si>
  <si>
    <t>SOA11. Levantar objetos/material incorrectamente.</t>
  </si>
  <si>
    <t>SOA12. Adoptar una posición incorrecta para la tarea.</t>
  </si>
  <si>
    <t>SOA13. Dar mantenimiento a equipo en operación.</t>
  </si>
  <si>
    <t>SOA14. Bromear/Juguetear bruscamente.</t>
  </si>
  <si>
    <t>SOA15. Usar equipo incorrectamente.</t>
  </si>
  <si>
    <t>SOA16. Trabajar bajo la influencia de alcohol y/o drogas.</t>
  </si>
  <si>
    <t>SOA17. Maniobrar incorrectamente.</t>
  </si>
  <si>
    <t>SOA18. Realizar otro acto no clasificado.</t>
  </si>
  <si>
    <t>SOC01. Guardas, muros de seguridad Inadecuados/No existentes.</t>
  </si>
  <si>
    <t>SOC02. Paredes, tejados, pisos, etc. Inestables.</t>
  </si>
  <si>
    <t>SOC03. Caminos, pisos, superficies, inadecuados.</t>
  </si>
  <si>
    <t>SOC04. Equipo de protección personal inadecuado.</t>
  </si>
  <si>
    <t>SOC05. Herramientas, equipos o materiales defectuosos.</t>
  </si>
  <si>
    <t>SOC06. Congestión o Acción Restringida.</t>
  </si>
  <si>
    <t>SOC07. Sistema de Advertencia/Aviso Inadecuado.</t>
  </si>
  <si>
    <t>SOC08. Peligros de Incendio/Explosión.</t>
  </si>
  <si>
    <t>SOC09. Sistema de aseguramiento/bloqueo inadecuado.</t>
  </si>
  <si>
    <t>SOC10. Orden y Limpieza deficiente.</t>
  </si>
  <si>
    <t>SOC11. Presencia de químicos (polvo, humos, vapor, gas, solventes, etc).</t>
  </si>
  <si>
    <t>SOC12. Presencia de Ruido.</t>
  </si>
  <si>
    <t>SOC13. Presencia de Radiación.</t>
  </si>
  <si>
    <t>SOC14. Temperaturas extremas.</t>
  </si>
  <si>
    <t>SOC15. Peligros ergonómicos.</t>
  </si>
  <si>
    <t>SOC16. Iluminación deficiente o excesiva.</t>
  </si>
  <si>
    <t>SOC17. Ventilación inadecuada.</t>
  </si>
  <si>
    <t>SOC18. Peligros biológicos.</t>
  </si>
  <si>
    <t>ACTOS SUBESTÁNDARES (MA)</t>
  </si>
  <si>
    <t>CONDICIONES SUBESTÁNDARES (MA)</t>
  </si>
  <si>
    <t>ACTOS SUBESTÁNDARES (SSO)</t>
  </si>
  <si>
    <t>CONDICIONES SUBESTÁNDARES (SSO)</t>
  </si>
  <si>
    <t>Tipo:</t>
  </si>
  <si>
    <t>RAFAELA DEL CARMEN DELGADO LOAYZA</t>
  </si>
  <si>
    <t>KARLA PATRICIA MONTOYA PERALTA</t>
  </si>
  <si>
    <t>CARLOS GABRIEL MEGO ARMAS</t>
  </si>
  <si>
    <t>ROBERTO ELIAS CARDENAS</t>
  </si>
  <si>
    <t>ANGELA ALEJANDRA LOPEZ MEDINA DE ZAVALAGA</t>
  </si>
  <si>
    <t>WALTER ADOLFO LINO MENDEZ</t>
  </si>
  <si>
    <t>CESAR OCTAVIO ALARCON RAMOS</t>
  </si>
  <si>
    <t>ELIZABETH MONTENEGRO SUAREZ</t>
  </si>
  <si>
    <t>EDWIN EDUARDO RIVERO GOMEZ</t>
  </si>
  <si>
    <t>MARLON WILLY BUSCH RUDAS</t>
  </si>
  <si>
    <t>PEDELY CARLOS CLEMENTE VALVAS</t>
  </si>
  <si>
    <t>EDGAR JAIME HIZO GOMERO</t>
  </si>
  <si>
    <t>CARLOS ALEJANDRO CUBAS DELGADO</t>
  </si>
  <si>
    <t>ROBERTO ERNESTO COBIAN VASQUEZ</t>
  </si>
  <si>
    <t>CARLOS MANUEL HUERTA MEJIA</t>
  </si>
  <si>
    <t>MIGUEL ANGEL CALDERON CARAZA</t>
  </si>
  <si>
    <t>CARLOS ALBERTO BERAUN SUSANIBAR</t>
  </si>
  <si>
    <t>CESAR ADOLFO GARCIA CHAVEZ</t>
  </si>
  <si>
    <t>CARLOS ALBERTO AGUIRRE JIMENEZ</t>
  </si>
  <si>
    <t>CINDY DALINA DAVILA LEYVA</t>
  </si>
  <si>
    <t>VICTOR MANUEL SOTO DELGADO</t>
  </si>
  <si>
    <t>DESCRIPCIÓN DE LA OBSERVACIÓN</t>
  </si>
  <si>
    <t>Observación SSO/MA:</t>
  </si>
  <si>
    <t>ZETRAMSA</t>
  </si>
  <si>
    <t>HIDROBOMBEO INGENIEROS S.A.C</t>
  </si>
  <si>
    <t>KNIGHT PIESOLD CONSULTORES S.A.</t>
  </si>
  <si>
    <t>GMI S.A. INGENIEROS CONSULTORES</t>
  </si>
  <si>
    <t>INSPECTORATE SERVICES PERU S.A.C.</t>
  </si>
  <si>
    <t>TDM CONSTRUCCIÓN S.A.</t>
  </si>
  <si>
    <t>PEGASUS RENT A CAR S.A.C.</t>
  </si>
  <si>
    <t>KILLA URPI S.A.C.</t>
  </si>
  <si>
    <t>MEGAPACK TRADING SAC</t>
  </si>
  <si>
    <t>Ingenieros Electromecanicos S.A.</t>
  </si>
  <si>
    <t>AMEC FOSTER WHEELER PERU S.A.C.</t>
  </si>
  <si>
    <t>Metal Sur Famin SRL</t>
  </si>
  <si>
    <t>MAKITECH E.I.R.L.</t>
  </si>
  <si>
    <t>IFLUTECH S.A.C.</t>
  </si>
  <si>
    <t>M.G TRADING S.A.C</t>
  </si>
  <si>
    <t>Registro N°:</t>
  </si>
  <si>
    <t>Versión:</t>
  </si>
  <si>
    <t>Fecha de elaboración:</t>
  </si>
  <si>
    <t>Fecha de emisión:</t>
  </si>
  <si>
    <t>Código:</t>
  </si>
  <si>
    <t>Empresa observada:</t>
  </si>
  <si>
    <t>Gerencia a la que pertenece (Marcobre):</t>
  </si>
  <si>
    <t>Medida(s) de control inmediata:</t>
  </si>
  <si>
    <t>Descripción del acto o condición subestándar:</t>
  </si>
  <si>
    <t>Ubicación de la observación:</t>
  </si>
  <si>
    <t>¿Se planteó una primera acción correctiva?:</t>
  </si>
  <si>
    <t>Área de Marcobre:</t>
  </si>
  <si>
    <t>Otra empresa:</t>
  </si>
  <si>
    <t>Fecha de cierre programada:</t>
  </si>
  <si>
    <t>Responsable de Marcobre del cierre de la observación:</t>
  </si>
  <si>
    <t>Se planteó AC:</t>
  </si>
  <si>
    <t>Sí</t>
  </si>
  <si>
    <t>No</t>
  </si>
  <si>
    <t>Tipo de acto o cond.</t>
  </si>
  <si>
    <t>Supervisores Medio Ambiente</t>
  </si>
  <si>
    <t>Supervisores Seguridad y Salud Ocupacional</t>
  </si>
  <si>
    <t>Empresa</t>
  </si>
  <si>
    <t>Control de proyectos</t>
  </si>
  <si>
    <t>Administración y finanzas (Logística)</t>
  </si>
  <si>
    <t>Adquisiciones y contratos</t>
  </si>
  <si>
    <t>Auditoría interna</t>
  </si>
  <si>
    <t>Comisionamiento</t>
  </si>
  <si>
    <t>Ejecución</t>
  </si>
  <si>
    <t>Exploraciones</t>
  </si>
  <si>
    <t>Geología</t>
  </si>
  <si>
    <t>Mantenimiento</t>
  </si>
  <si>
    <t>Medio ambiente y permisos</t>
  </si>
  <si>
    <t>Mina</t>
  </si>
  <si>
    <t>Operaciones</t>
  </si>
  <si>
    <t>Planeamiento de mina</t>
  </si>
  <si>
    <t>Procesamiento (Sulfuros, Óxidos, Puerto, Lab. Químico)</t>
  </si>
  <si>
    <t>Recursos humanos (RRHH, SSGG, Security)</t>
  </si>
  <si>
    <t>Responsabilidad social y comunicaciones</t>
  </si>
  <si>
    <t>Seguridad y salud</t>
  </si>
  <si>
    <t>Gerencia General Marcobre</t>
  </si>
  <si>
    <t>Legal</t>
  </si>
  <si>
    <t>Evidencia de la observación:</t>
  </si>
  <si>
    <t>Evidencia del levantamiento de observación (Cierre de la acción correctiva):</t>
  </si>
  <si>
    <t>REPORTE DE ACTO Y CONDICIÓN SUBESTÁNDAR
(RAC)</t>
  </si>
  <si>
    <t>Supervisor de SSO/MA (Marcobre) a notificar:</t>
  </si>
  <si>
    <t>JU-MAP-PRO-004.F02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</si>
</sst>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  <font>
      <sz val="10"/>
      <color theme="2" tint="-0.249977111117893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D649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3" xfId="0" quotePrefix="1" applyFont="1" applyBorder="1" applyAlignment="1" applyProtection="1">
      <alignment horizontal="center" vertical="center"/>
      <protection hidden="1"/>
    </xf>
    <xf numFmtId="0" fontId="4" fillId="0" borderId="3" xfId="0" quotePrefix="1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5" fillId="0" borderId="0" xfId="0" quotePrefix="1" applyFont="1" applyAlignment="1" applyProtection="1">
      <alignment vertical="center" wrapText="1"/>
      <protection hidden="1"/>
    </xf>
    <xf numFmtId="0" fontId="4" fillId="0" borderId="4" xfId="0" applyFont="1" applyBorder="1" applyAlignment="1">
      <alignment horizontal="left" vertical="center"/>
    </xf>
    <xf numFmtId="0" fontId="6" fillId="0" borderId="0" xfId="0" applyFont="1" applyBorder="1" applyAlignment="1">
      <alignment horizontal="right" vertical="center" wrapText="1"/>
    </xf>
    <xf numFmtId="0" fontId="4" fillId="0" borderId="0" xfId="0" applyFont="1"/>
    <xf numFmtId="0" fontId="7" fillId="0" borderId="0" xfId="0" applyFont="1"/>
    <xf numFmtId="0" fontId="8" fillId="0" borderId="0" xfId="0" applyFont="1" applyBorder="1" applyAlignment="1">
      <alignment horizontal="center" vertical="center"/>
    </xf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6" fillId="0" borderId="4" xfId="0" applyFont="1" applyBorder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4" fillId="0" borderId="1" xfId="0" applyFont="1" applyBorder="1"/>
    <xf numFmtId="0" fontId="4" fillId="0" borderId="12" xfId="0" applyFont="1" applyBorder="1"/>
    <xf numFmtId="0" fontId="4" fillId="0" borderId="2" xfId="0" applyFont="1" applyBorder="1"/>
    <xf numFmtId="0" fontId="6" fillId="0" borderId="1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4" xfId="0" applyFont="1" applyBorder="1" applyAlignment="1">
      <alignment horizontal="left" vertical="center" wrapText="1"/>
    </xf>
    <xf numFmtId="18" fontId="6" fillId="0" borderId="0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4" fillId="0" borderId="12" xfId="0" applyFont="1" applyBorder="1" applyAlignment="1">
      <alignment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6" fillId="0" borderId="5" xfId="0" applyFont="1" applyBorder="1" applyAlignment="1">
      <alignment horizontal="right" vertical="center" wrapText="1"/>
    </xf>
    <xf numFmtId="0" fontId="6" fillId="0" borderId="13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10" xfId="0" applyNumberFormat="1" applyFont="1" applyFill="1" applyBorder="1"/>
    <xf numFmtId="0" fontId="11" fillId="0" borderId="0" xfId="0" quotePrefix="1" applyFont="1" applyAlignment="1" applyProtection="1">
      <alignment vertical="center" wrapText="1"/>
      <protection hidden="1"/>
    </xf>
    <xf numFmtId="0" fontId="3" fillId="0" borderId="3" xfId="0" applyFont="1" applyBorder="1" applyAlignment="1" applyProtection="1">
      <alignment horizontal="left" vertical="center" wrapText="1"/>
      <protection hidden="1"/>
    </xf>
    <xf numFmtId="0" fontId="3" fillId="0" borderId="3" xfId="0" applyFont="1" applyBorder="1" applyAlignment="1" applyProtection="1">
      <alignment vertical="center" wrapText="1"/>
      <protection hidden="1"/>
    </xf>
    <xf numFmtId="0" fontId="12" fillId="0" borderId="0" xfId="0" applyFont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/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7" xfId="0" applyFont="1" applyFill="1" applyBorder="1" applyAlignment="1">
      <alignment vertical="center" wrapText="1"/>
    </xf>
    <xf numFmtId="0" fontId="3" fillId="0" borderId="8" xfId="0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8" fontId="6" fillId="0" borderId="6" xfId="0" applyNumberFormat="1" applyFont="1" applyBorder="1" applyAlignment="1">
      <alignment horizontal="center" vertical="center"/>
    </xf>
    <xf numFmtId="18" fontId="6" fillId="0" borderId="8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quotePrefix="1" applyFont="1" applyBorder="1" applyAlignment="1">
      <alignment horizontal="left" vertical="center" indent="3"/>
    </xf>
    <xf numFmtId="0" fontId="4" fillId="0" borderId="7" xfId="0" quotePrefix="1" applyFont="1" applyBorder="1" applyAlignment="1">
      <alignment horizontal="left" vertical="center" indent="3"/>
    </xf>
    <xf numFmtId="0" fontId="4" fillId="0" borderId="8" xfId="0" quotePrefix="1" applyFont="1" applyBorder="1" applyAlignment="1">
      <alignment horizontal="left" vertical="center" indent="3"/>
    </xf>
    <xf numFmtId="18" fontId="4" fillId="0" borderId="3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right" vertical="center" wrapText="1"/>
    </xf>
    <xf numFmtId="14" fontId="4" fillId="0" borderId="3" xfId="0" applyNumberFormat="1" applyFont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 applyProtection="1">
      <alignment horizontal="left" vertical="center" wrapText="1"/>
      <protection hidden="1"/>
    </xf>
    <xf numFmtId="0" fontId="2" fillId="2" borderId="7" xfId="0" applyFont="1" applyFill="1" applyBorder="1" applyAlignment="1" applyProtection="1">
      <alignment horizontal="left" vertical="center" wrapText="1"/>
      <protection hidden="1"/>
    </xf>
    <xf numFmtId="0" fontId="2" fillId="2" borderId="8" xfId="0" applyFont="1" applyFill="1" applyBorder="1" applyAlignment="1" applyProtection="1">
      <alignment horizontal="left" vertical="center" wrapText="1"/>
      <protection hidden="1"/>
    </xf>
    <xf numFmtId="0" fontId="2" fillId="2" borderId="3" xfId="0" applyFont="1" applyFill="1" applyBorder="1" applyAlignment="1" applyProtection="1">
      <alignment horizontal="left" vertical="center" wrapText="1"/>
      <protection hidden="1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14" fontId="4" fillId="0" borderId="7" xfId="0" applyNumberFormat="1" applyFont="1" applyFill="1" applyBorder="1" applyAlignment="1">
      <alignment horizontal="left"/>
    </xf>
    <xf numFmtId="14" fontId="4" fillId="0" borderId="8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indent="3"/>
    </xf>
    <xf numFmtId="0" fontId="4" fillId="0" borderId="7" xfId="0" applyFont="1" applyBorder="1" applyAlignment="1">
      <alignment horizontal="left" vertical="center" wrapText="1" indent="3"/>
    </xf>
    <xf numFmtId="0" fontId="4" fillId="0" borderId="8" xfId="0" applyFont="1" applyBorder="1" applyAlignment="1">
      <alignment horizontal="left" vertical="center" wrapText="1" indent="3"/>
    </xf>
    <xf numFmtId="0" fontId="3" fillId="0" borderId="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006600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0"/>
      </font>
      <fill>
        <patternFill>
          <bgColor rgb="FFCC0000"/>
        </patternFill>
      </fill>
    </dxf>
  </dxfs>
  <tableStyles count="0" defaultTableStyle="TableStyleMedium2" defaultPivotStyle="PivotStyleLight16"/>
  <colors>
    <mruColors>
      <color rgb="FF006600"/>
      <color rgb="FFCC0000"/>
      <color rgb="FF2D64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96180</xdr:colOff>
      <xdr:row>1</xdr:row>
      <xdr:rowOff>161925</xdr:rowOff>
    </xdr:from>
    <xdr:to>
      <xdr:col>1</xdr:col>
      <xdr:colOff>1362802</xdr:colOff>
      <xdr:row>3</xdr:row>
      <xdr:rowOff>9525</xdr:rowOff>
    </xdr:to>
    <xdr:pic>
      <xdr:nvPicPr>
        <xdr:cNvPr id="2" name="Imagen 1" descr="http://www.minsur.com/wp-content/uploads/2018/Firma_marcobr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235" r="4711" b="8964"/>
        <a:stretch/>
      </xdr:blipFill>
      <xdr:spPr bwMode="auto">
        <a:xfrm>
          <a:off x="210480" y="238125"/>
          <a:ext cx="1266622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470817</xdr:colOff>
      <xdr:row>1</xdr:row>
      <xdr:rowOff>66675</xdr:rowOff>
    </xdr:from>
    <xdr:to>
      <xdr:col>14</xdr:col>
      <xdr:colOff>916956</xdr:colOff>
      <xdr:row>3</xdr:row>
      <xdr:rowOff>97645</xdr:rowOff>
    </xdr:to>
    <xdr:pic>
      <xdr:nvPicPr>
        <xdr:cNvPr id="3" name="Imagen 5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8517" y="142875"/>
          <a:ext cx="446139" cy="54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A131"/>
  <sheetViews>
    <sheetView showGridLines="0" topLeftCell="B1" workbookViewId="0">
      <selection activeCell="H25" sqref="H25"/>
    </sheetView>
  </sheetViews>
  <sheetFormatPr baseColWidth="10" defaultColWidth="11.44140625" defaultRowHeight="13.2" x14ac:dyDescent="0.25"/>
  <cols>
    <col min="1" max="1" width="21.33203125" style="8" customWidth="1"/>
    <col min="2" max="2" width="15.6640625" style="8" customWidth="1"/>
    <col min="3" max="3" width="19.88671875" style="8" customWidth="1"/>
    <col min="4" max="4" width="34.5546875" style="8" customWidth="1"/>
    <col min="5" max="6" width="11.44140625" style="8"/>
    <col min="7" max="7" width="16.44140625" style="8" customWidth="1"/>
    <col min="8" max="8" width="15" style="8" customWidth="1"/>
    <col min="9" max="9" width="29.5546875" style="8" customWidth="1"/>
    <col min="10" max="10" width="31.5546875" style="8" customWidth="1"/>
    <col min="11" max="18" width="11.44140625" style="8"/>
    <col min="19" max="19" width="21.5546875" style="8" customWidth="1"/>
    <col min="20" max="20" width="11.44140625" style="8"/>
    <col min="21" max="21" width="18.5546875" style="8" customWidth="1"/>
    <col min="22" max="23" width="11.44140625" style="8"/>
    <col min="24" max="24" width="26.33203125" style="8" customWidth="1"/>
    <col min="25" max="45" width="11.44140625" style="8"/>
    <col min="46" max="46" width="15.6640625" style="8" customWidth="1"/>
    <col min="47" max="16384" width="11.44140625" style="8"/>
  </cols>
  <sheetData>
    <row r="2" spans="1:79" x14ac:dyDescent="0.25">
      <c r="A2" s="1" t="s">
        <v>193</v>
      </c>
      <c r="B2" s="31" t="s">
        <v>40</v>
      </c>
      <c r="C2" s="39" t="s">
        <v>54</v>
      </c>
    </row>
    <row r="4" spans="1:79" ht="105.6" x14ac:dyDescent="0.25">
      <c r="A4" s="1" t="s">
        <v>132</v>
      </c>
      <c r="B4" s="50" t="s">
        <v>58</v>
      </c>
      <c r="C4" s="50" t="s">
        <v>59</v>
      </c>
      <c r="D4" s="50" t="s">
        <v>60</v>
      </c>
      <c r="E4" s="50" t="s">
        <v>61</v>
      </c>
      <c r="F4" s="50" t="s">
        <v>62</v>
      </c>
      <c r="G4" s="50" t="s">
        <v>63</v>
      </c>
      <c r="H4" s="50" t="s">
        <v>64</v>
      </c>
      <c r="I4" s="50" t="s">
        <v>65</v>
      </c>
      <c r="J4" s="50" t="s">
        <v>66</v>
      </c>
      <c r="K4" s="50" t="s">
        <v>67</v>
      </c>
      <c r="L4" s="50" t="s">
        <v>68</v>
      </c>
      <c r="M4" s="50" t="s">
        <v>69</v>
      </c>
      <c r="N4" s="50" t="s">
        <v>70</v>
      </c>
      <c r="O4" s="50" t="s">
        <v>71</v>
      </c>
      <c r="P4" s="50" t="s">
        <v>72</v>
      </c>
      <c r="Q4" s="50" t="s">
        <v>73</v>
      </c>
      <c r="R4" s="50" t="s">
        <v>74</v>
      </c>
      <c r="S4" s="1" t="s">
        <v>133</v>
      </c>
      <c r="T4" s="50" t="s">
        <v>75</v>
      </c>
      <c r="U4" s="50" t="s">
        <v>76</v>
      </c>
      <c r="V4" s="50" t="s">
        <v>77</v>
      </c>
      <c r="W4" s="50" t="s">
        <v>78</v>
      </c>
      <c r="X4" s="50" t="s">
        <v>79</v>
      </c>
      <c r="Y4" s="50" t="s">
        <v>80</v>
      </c>
      <c r="Z4" s="50" t="s">
        <v>81</v>
      </c>
      <c r="AA4" s="50" t="s">
        <v>82</v>
      </c>
      <c r="AB4" s="50" t="s">
        <v>83</v>
      </c>
      <c r="AC4" s="50" t="s">
        <v>84</v>
      </c>
      <c r="AD4" s="50" t="s">
        <v>85</v>
      </c>
      <c r="AE4" s="50" t="s">
        <v>86</v>
      </c>
      <c r="AF4" s="50" t="s">
        <v>87</v>
      </c>
      <c r="AG4" s="50" t="s">
        <v>88</v>
      </c>
      <c r="AH4" s="50" t="s">
        <v>89</v>
      </c>
      <c r="AI4" s="50" t="s">
        <v>90</v>
      </c>
      <c r="AJ4" s="50" t="s">
        <v>91</v>
      </c>
      <c r="AK4" s="50" t="s">
        <v>92</v>
      </c>
      <c r="AL4" s="50" t="s">
        <v>93</v>
      </c>
      <c r="AM4" s="50" t="s">
        <v>94</v>
      </c>
      <c r="AN4" s="50" t="s">
        <v>95</v>
      </c>
      <c r="AO4" s="1" t="s">
        <v>134</v>
      </c>
      <c r="AP4" s="51" t="s">
        <v>96</v>
      </c>
      <c r="AQ4" s="51" t="s">
        <v>97</v>
      </c>
      <c r="AR4" s="51" t="s">
        <v>98</v>
      </c>
      <c r="AS4" s="51" t="s">
        <v>99</v>
      </c>
      <c r="AT4" s="51" t="s">
        <v>100</v>
      </c>
      <c r="AU4" s="51" t="s">
        <v>101</v>
      </c>
      <c r="AV4" s="51" t="s">
        <v>102</v>
      </c>
      <c r="AW4" s="51" t="s">
        <v>103</v>
      </c>
      <c r="AX4" s="51" t="s">
        <v>104</v>
      </c>
      <c r="AY4" s="51" t="s">
        <v>105</v>
      </c>
      <c r="AZ4" s="51" t="s">
        <v>106</v>
      </c>
      <c r="BA4" s="51" t="s">
        <v>107</v>
      </c>
      <c r="BB4" s="51" t="s">
        <v>108</v>
      </c>
      <c r="BC4" s="51" t="s">
        <v>109</v>
      </c>
      <c r="BD4" s="51" t="s">
        <v>110</v>
      </c>
      <c r="BE4" s="51" t="s">
        <v>111</v>
      </c>
      <c r="BF4" s="51" t="s">
        <v>112</v>
      </c>
      <c r="BG4" s="51" t="s">
        <v>113</v>
      </c>
      <c r="BH4" s="50" t="s">
        <v>74</v>
      </c>
      <c r="BI4" s="1" t="s">
        <v>135</v>
      </c>
      <c r="BJ4" s="50" t="s">
        <v>114</v>
      </c>
      <c r="BK4" s="50" t="s">
        <v>115</v>
      </c>
      <c r="BL4" s="50" t="s">
        <v>116</v>
      </c>
      <c r="BM4" s="50" t="s">
        <v>117</v>
      </c>
      <c r="BN4" s="50" t="s">
        <v>118</v>
      </c>
      <c r="BO4" s="50" t="s">
        <v>119</v>
      </c>
      <c r="BP4" s="50" t="s">
        <v>120</v>
      </c>
      <c r="BQ4" s="50" t="s">
        <v>121</v>
      </c>
      <c r="BR4" s="50" t="s">
        <v>122</v>
      </c>
      <c r="BS4" s="50" t="s">
        <v>123</v>
      </c>
      <c r="BT4" s="50" t="s">
        <v>124</v>
      </c>
      <c r="BU4" s="50" t="s">
        <v>125</v>
      </c>
      <c r="BV4" s="50" t="s">
        <v>126</v>
      </c>
      <c r="BW4" s="50" t="s">
        <v>127</v>
      </c>
      <c r="BX4" s="50" t="s">
        <v>128</v>
      </c>
      <c r="BY4" s="50" t="s">
        <v>129</v>
      </c>
      <c r="BZ4" s="50" t="s">
        <v>130</v>
      </c>
      <c r="CA4" s="50" t="s">
        <v>131</v>
      </c>
    </row>
    <row r="5" spans="1:79" s="52" customFormat="1" ht="16.2" customHeight="1" x14ac:dyDescent="0.25">
      <c r="A5" s="49" t="str">
        <f>IF(RAC!$C18="MA",$A$4,"")</f>
        <v/>
      </c>
      <c r="B5" s="49" t="str">
        <f>IF(RAC!$C18="MA",B4,"")</f>
        <v/>
      </c>
      <c r="C5" s="49" t="str">
        <f>IF(RAC!$C18="MA",C4,"")</f>
        <v/>
      </c>
      <c r="D5" s="49" t="str">
        <f>IF(RAC!$C18="MA",D4,"")</f>
        <v/>
      </c>
      <c r="E5" s="49" t="str">
        <f>IF(RAC!$C18="MA",E4,"")</f>
        <v/>
      </c>
      <c r="F5" s="49" t="str">
        <f>IF(RAC!$C18="MA",F4,"")</f>
        <v/>
      </c>
      <c r="G5" s="49" t="str">
        <f>IF(RAC!$C18="MA",G4,"")</f>
        <v/>
      </c>
      <c r="H5" s="49" t="str">
        <f>IF(RAC!$C18="MA",H4,"")</f>
        <v/>
      </c>
      <c r="I5" s="49" t="str">
        <f>IF(RAC!$C18="MA",I4,"")</f>
        <v/>
      </c>
      <c r="J5" s="49" t="str">
        <f>IF(RAC!$C18="MA",J4,"")</f>
        <v/>
      </c>
      <c r="K5" s="49" t="str">
        <f>IF(RAC!$C18="MA",K4,"")</f>
        <v/>
      </c>
      <c r="L5" s="49" t="str">
        <f>IF(RAC!$C18="MA",L4,"")</f>
        <v/>
      </c>
      <c r="M5" s="49" t="str">
        <f>IF(RAC!$C18="MA",M4,"")</f>
        <v/>
      </c>
      <c r="N5" s="49" t="str">
        <f>IF(RAC!$C18="MA",N4,"")</f>
        <v/>
      </c>
      <c r="O5" s="49" t="str">
        <f>IF(RAC!$C18="MA",O4,"")</f>
        <v/>
      </c>
      <c r="P5" s="49" t="str">
        <f>IF(RAC!$C18="MA",P4,"")</f>
        <v/>
      </c>
      <c r="Q5" s="49" t="str">
        <f>IF(RAC!$C18="MA",Q4,"")</f>
        <v/>
      </c>
      <c r="R5" s="49" t="str">
        <f>IF(RAC!$C18="MA",R4,"")</f>
        <v/>
      </c>
      <c r="S5" s="49" t="str">
        <f>IF(RAC!$C18="MA",S4,"")</f>
        <v/>
      </c>
      <c r="T5" s="49" t="str">
        <f>IF(RAC!$C18="MA",T4,"")</f>
        <v/>
      </c>
      <c r="U5" s="49" t="str">
        <f>IF(RAC!$C18="MA",U4,"")</f>
        <v/>
      </c>
      <c r="V5" s="49" t="str">
        <f>IF(RAC!$C18="MA",V4,"")</f>
        <v/>
      </c>
      <c r="W5" s="49" t="str">
        <f>IF(RAC!$C18="MA",W4,"")</f>
        <v/>
      </c>
      <c r="X5" s="49" t="str">
        <f>IF(RAC!$C18="MA",X4,"")</f>
        <v/>
      </c>
      <c r="Y5" s="49" t="str">
        <f>IF(RAC!$C18="MA",Y4,"")</f>
        <v/>
      </c>
      <c r="Z5" s="49" t="str">
        <f>IF(RAC!$C18="MA",Z4,"")</f>
        <v/>
      </c>
      <c r="AA5" s="49" t="str">
        <f>IF(RAC!$C18="MA",AA4,"")</f>
        <v/>
      </c>
      <c r="AB5" s="49" t="str">
        <f>IF(RAC!$C18="MA",AB4,"")</f>
        <v/>
      </c>
      <c r="AC5" s="49" t="str">
        <f>IF(RAC!$C18="MA",AC4,"")</f>
        <v/>
      </c>
      <c r="AD5" s="49" t="str">
        <f>IF(RAC!$C18="MA",AD4,"")</f>
        <v/>
      </c>
      <c r="AE5" s="49" t="str">
        <f>IF(RAC!$C18="MA",AE4,"")</f>
        <v/>
      </c>
      <c r="AF5" s="49" t="str">
        <f>IF(RAC!$C18="MA",AF4,"")</f>
        <v/>
      </c>
      <c r="AG5" s="49" t="str">
        <f>IF(RAC!$C18="MA",AG4,"")</f>
        <v/>
      </c>
      <c r="AH5" s="49" t="str">
        <f>IF(RAC!$C18="MA",AH4,"")</f>
        <v/>
      </c>
      <c r="AI5" s="49" t="str">
        <f>IF(RAC!$C18="MA",AI4,"")</f>
        <v/>
      </c>
      <c r="AJ5" s="49" t="str">
        <f>IF(RAC!$C18="MA",AJ4,"")</f>
        <v/>
      </c>
      <c r="AK5" s="49" t="str">
        <f>IF(RAC!$C18="MA",AK4,"")</f>
        <v/>
      </c>
      <c r="AL5" s="49" t="str">
        <f>IF(RAC!$C18="MA",AL4,"")</f>
        <v/>
      </c>
      <c r="AM5" s="49" t="str">
        <f>IF(RAC!$C18="MA",AM4,"")</f>
        <v/>
      </c>
      <c r="AN5" s="49" t="str">
        <f>IF(RAC!$C18="MA",AN4,"")</f>
        <v/>
      </c>
      <c r="AO5" s="49" t="str">
        <f>IF(RAC!$C18="SSO",AO4,"")</f>
        <v>ACTOS SUBESTÁNDARES (SSO)</v>
      </c>
      <c r="AP5" s="49" t="str">
        <f>IF(RAC!$C18="SSO",AP4,"")</f>
        <v>SOA01. Operar equipo sin autorización.</v>
      </c>
      <c r="AQ5" s="49" t="str">
        <f>IF(RAC!$C18="SSO",AQ4,"")</f>
        <v>SOA02. Operar equipo a velocidad incorrecta.</v>
      </c>
      <c r="AR5" s="49" t="str">
        <f>IF(RAC!$C18="SSO",AR4,"")</f>
        <v>SOA03. Señalizar/avisar incorrectamente - No señalizar/avisar.</v>
      </c>
      <c r="AS5" s="49" t="str">
        <f>IF(RAC!$C18="SSO",AS4,"")</f>
        <v>SOA04. No Advertir.</v>
      </c>
      <c r="AT5" s="49" t="str">
        <f>IF(RAC!$C18="SSO",AT4,"")</f>
        <v>SOA05. Asegurar/bloquear incorrectamente - No asegurar/bloquear.</v>
      </c>
      <c r="AU5" s="49" t="str">
        <f>IF(RAC!$C18="SSO",AU4,"")</f>
        <v>SOA06. Desactivar dispositivos de seguridad.</v>
      </c>
      <c r="AV5" s="49" t="str">
        <f>IF(RAC!$C18="SSO",AV4,"")</f>
        <v>SOA07. Usar equipos defectuosos.</v>
      </c>
      <c r="AW5" s="49" t="str">
        <f>IF(RAC!$C18="SSO",AW4,"")</f>
        <v>SOA08. Usar incorrectamente EPP - No usar EPP.</v>
      </c>
      <c r="AX5" s="49" t="str">
        <f>IF(RAC!$C18="SSO",AX4,"")</f>
        <v>SOA09. Instalar carga de manera incorrecta.</v>
      </c>
      <c r="AY5" s="49" t="str">
        <f>IF(RAC!$C18="SSO",AY4,"")</f>
        <v>SOA10. Adoptar una ubicación incorrecta.</v>
      </c>
      <c r="AZ5" s="49" t="str">
        <f>IF(RAC!$C18="SSO",AZ4,"")</f>
        <v>SOA11. Levantar objetos/material incorrectamente.</v>
      </c>
      <c r="BA5" s="49" t="str">
        <f>IF(RAC!$C18="SSO",BA4,"")</f>
        <v>SOA12. Adoptar una posición incorrecta para la tarea.</v>
      </c>
      <c r="BB5" s="49" t="str">
        <f>IF(RAC!$C18="SSO",BB4,"")</f>
        <v>SOA13. Dar mantenimiento a equipo en operación.</v>
      </c>
      <c r="BC5" s="49" t="str">
        <f>IF(RAC!$C18="SSO",BC4,"")</f>
        <v>SOA14. Bromear/Juguetear bruscamente.</v>
      </c>
      <c r="BD5" s="49" t="str">
        <f>IF(RAC!$C18="SSO",BD4,"")</f>
        <v>SOA15. Usar equipo incorrectamente.</v>
      </c>
      <c r="BE5" s="49" t="str">
        <f>IF(RAC!$C18="SSO",BE4,"")</f>
        <v>SOA16. Trabajar bajo la influencia de alcohol y/o drogas.</v>
      </c>
      <c r="BF5" s="49" t="str">
        <f>IF(RAC!$C18="SSO",BF4,"")</f>
        <v>SOA17. Maniobrar incorrectamente.</v>
      </c>
      <c r="BG5" s="49" t="str">
        <f>IF(RAC!$C18="SSO",BG4,"")</f>
        <v>SOA18. Realizar otro acto no clasificado.</v>
      </c>
      <c r="BH5" s="49" t="str">
        <f>IF(RAC!$C18="SSO",BH4,"")</f>
        <v>************************************</v>
      </c>
      <c r="BI5" s="49" t="str">
        <f>IF(RAC!$C18="SSO",BI4,"")</f>
        <v>CONDICIONES SUBESTÁNDARES (SSO)</v>
      </c>
      <c r="BJ5" s="49" t="str">
        <f>IF(RAC!$C18="SSO",BJ4,"")</f>
        <v>SOC01. Guardas, muros de seguridad Inadecuados/No existentes.</v>
      </c>
      <c r="BK5" s="49" t="str">
        <f>IF(RAC!$C18="SSO",BK4,"")</f>
        <v>SOC02. Paredes, tejados, pisos, etc. Inestables.</v>
      </c>
      <c r="BL5" s="49" t="str">
        <f>IF(RAC!$C18="SSO",BL4,"")</f>
        <v>SOC03. Caminos, pisos, superficies, inadecuados.</v>
      </c>
      <c r="BM5" s="49" t="str">
        <f>IF(RAC!$C18="SSO",BM4,"")</f>
        <v>SOC04. Equipo de protección personal inadecuado.</v>
      </c>
      <c r="BN5" s="49" t="str">
        <f>IF(RAC!$C18="SSO",BN4,"")</f>
        <v>SOC05. Herramientas, equipos o materiales defectuosos.</v>
      </c>
      <c r="BO5" s="49" t="str">
        <f>IF(RAC!$C18="SSO",BO4,"")</f>
        <v>SOC06. Congestión o Acción Restringida.</v>
      </c>
      <c r="BP5" s="49" t="str">
        <f>IF(RAC!$C18="SSO",BP4,"")</f>
        <v>SOC07. Sistema de Advertencia/Aviso Inadecuado.</v>
      </c>
      <c r="BQ5" s="49" t="str">
        <f>IF(RAC!$C18="SSO",BQ4,"")</f>
        <v>SOC08. Peligros de Incendio/Explosión.</v>
      </c>
      <c r="BR5" s="49" t="str">
        <f>IF(RAC!$C18="SSO",BR4,"")</f>
        <v>SOC09. Sistema de aseguramiento/bloqueo inadecuado.</v>
      </c>
      <c r="BS5" s="49" t="str">
        <f>IF(RAC!$C18="SSO",BS4,"")</f>
        <v>SOC10. Orden y Limpieza deficiente.</v>
      </c>
      <c r="BT5" s="49" t="str">
        <f>IF(RAC!$C18="SSO",BT4,"")</f>
        <v>SOC11. Presencia de químicos (polvo, humos, vapor, gas, solventes, etc).</v>
      </c>
      <c r="BU5" s="49" t="str">
        <f>IF(RAC!$C18="SSO",BU4,"")</f>
        <v>SOC12. Presencia de Ruido.</v>
      </c>
      <c r="BV5" s="49" t="str">
        <f>IF(RAC!$C18="SSO",BV4,"")</f>
        <v>SOC13. Presencia de Radiación.</v>
      </c>
      <c r="BW5" s="49" t="str">
        <f>IF(RAC!$C18="SSO",BW4,"")</f>
        <v>SOC14. Temperaturas extremas.</v>
      </c>
      <c r="BX5" s="49" t="str">
        <f>IF(RAC!$C18="SSO",BX4,"")</f>
        <v>SOC15. Peligros ergonómicos.</v>
      </c>
      <c r="BY5" s="49" t="str">
        <f>IF(RAC!$C18="SSO",BY4,"")</f>
        <v>SOC16. Iluminación deficiente o excesiva.</v>
      </c>
      <c r="BZ5" s="49" t="str">
        <f>IF(RAC!$C18="SSO",BZ4,"")</f>
        <v>SOC17. Ventilación inadecuada.</v>
      </c>
      <c r="CA5" s="49" t="str">
        <f>IF(RAC!$C18="SSO",CA4,"")</f>
        <v>SOC18. Peligros biológicos.</v>
      </c>
    </row>
    <row r="6" spans="1:79" ht="16.2" customHeight="1" x14ac:dyDescent="0.25">
      <c r="A6" s="1" t="s">
        <v>190</v>
      </c>
      <c r="B6" s="31" t="s">
        <v>191</v>
      </c>
      <c r="C6" s="39" t="s">
        <v>192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</row>
    <row r="7" spans="1:79" ht="16.2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</row>
    <row r="8" spans="1:79" x14ac:dyDescent="0.25">
      <c r="A8" s="1" t="s">
        <v>55</v>
      </c>
      <c r="B8" s="2" t="str">
        <f>IF(RAC!C18="MA","Tolerable","")</f>
        <v/>
      </c>
      <c r="C8" s="3" t="str">
        <f>IF(RAC!C18="MA","Alerta","")</f>
        <v/>
      </c>
      <c r="D8" s="3" t="str">
        <f>IF(RAC!C18="MA","No aceptable","")</f>
        <v/>
      </c>
      <c r="E8" s="4" t="str">
        <f>IF(RAC!C18="SSO","Bajo","")</f>
        <v>Bajo</v>
      </c>
      <c r="F8" s="4" t="str">
        <f>IF(RAC!C18="SSO","Medio","")</f>
        <v>Medio</v>
      </c>
      <c r="G8" s="4" t="str">
        <f>IF(RAC!C18="SSO","Alto","")</f>
        <v>Alto</v>
      </c>
    </row>
    <row r="10" spans="1:79" x14ac:dyDescent="0.25">
      <c r="A10" s="1" t="s">
        <v>56</v>
      </c>
      <c r="B10" s="53" t="s">
        <v>1</v>
      </c>
      <c r="C10" s="54" t="s">
        <v>2</v>
      </c>
    </row>
    <row r="12" spans="1:79" x14ac:dyDescent="0.25">
      <c r="A12" s="65" t="s">
        <v>196</v>
      </c>
      <c r="B12" s="65"/>
      <c r="D12" s="65" t="s">
        <v>38</v>
      </c>
      <c r="E12" s="65"/>
      <c r="F12" s="65"/>
      <c r="I12" s="1" t="s">
        <v>194</v>
      </c>
      <c r="J12" s="1" t="str">
        <f>IF(RAC!$C$18="MA",I12,"")</f>
        <v/>
      </c>
    </row>
    <row r="13" spans="1:79" s="58" customFormat="1" ht="12.75" customHeight="1" x14ac:dyDescent="0.3">
      <c r="A13" s="60" t="s">
        <v>8</v>
      </c>
      <c r="B13" s="62"/>
      <c r="D13" s="60" t="s">
        <v>197</v>
      </c>
      <c r="E13" s="61"/>
      <c r="F13" s="62"/>
      <c r="I13" s="55" t="s">
        <v>140</v>
      </c>
      <c r="J13" s="59" t="str">
        <f>IF(RAC!$C$18="MA",I13,"")</f>
        <v/>
      </c>
    </row>
    <row r="14" spans="1:79" s="58" customFormat="1" ht="25.5" customHeight="1" x14ac:dyDescent="0.3">
      <c r="A14" s="60" t="s">
        <v>9</v>
      </c>
      <c r="B14" s="62"/>
      <c r="D14" s="60" t="s">
        <v>198</v>
      </c>
      <c r="E14" s="61"/>
      <c r="F14" s="62"/>
      <c r="I14" s="55" t="s">
        <v>153</v>
      </c>
      <c r="J14" s="59" t="str">
        <f>IF(RAC!$C$18="MA",I14,"")</f>
        <v/>
      </c>
    </row>
    <row r="15" spans="1:79" s="58" customFormat="1" ht="25.5" customHeight="1" x14ac:dyDescent="0.3">
      <c r="A15" s="60" t="s">
        <v>170</v>
      </c>
      <c r="B15" s="62"/>
      <c r="D15" s="60" t="s">
        <v>199</v>
      </c>
      <c r="E15" s="61"/>
      <c r="F15" s="62"/>
      <c r="I15" s="55" t="s">
        <v>154</v>
      </c>
      <c r="J15" s="59" t="str">
        <f>IF(RAC!$C$18="MA",I15,"")</f>
        <v/>
      </c>
    </row>
    <row r="16" spans="1:79" s="58" customFormat="1" ht="26.4" x14ac:dyDescent="0.3">
      <c r="A16" s="60" t="s">
        <v>10</v>
      </c>
      <c r="B16" s="62"/>
      <c r="D16" s="60" t="s">
        <v>200</v>
      </c>
      <c r="E16" s="61"/>
      <c r="F16" s="62"/>
      <c r="I16" s="55" t="s">
        <v>155</v>
      </c>
      <c r="J16" s="59" t="str">
        <f>IF(RAC!$C$18="MA",I16,"")</f>
        <v/>
      </c>
    </row>
    <row r="17" spans="1:10" s="58" customFormat="1" x14ac:dyDescent="0.3">
      <c r="A17" s="60" t="s">
        <v>11</v>
      </c>
      <c r="B17" s="62"/>
      <c r="D17" s="60" t="s">
        <v>201</v>
      </c>
      <c r="E17" s="61"/>
      <c r="F17" s="62"/>
      <c r="I17" s="55" t="s">
        <v>156</v>
      </c>
      <c r="J17" s="59" t="str">
        <f>IF(RAC!$C$18="MA",I17,"")</f>
        <v/>
      </c>
    </row>
    <row r="18" spans="1:10" s="58" customFormat="1" ht="26.4" x14ac:dyDescent="0.3">
      <c r="A18" s="60" t="s">
        <v>12</v>
      </c>
      <c r="B18" s="62"/>
      <c r="D18" s="60" t="s">
        <v>202</v>
      </c>
      <c r="E18" s="61"/>
      <c r="F18" s="62"/>
      <c r="I18" s="55" t="s">
        <v>137</v>
      </c>
      <c r="J18" s="59" t="str">
        <f>IF(RAC!$C$18="MA",I18,"")</f>
        <v/>
      </c>
    </row>
    <row r="19" spans="1:10" s="58" customFormat="1" ht="26.4" x14ac:dyDescent="0.3">
      <c r="A19" s="60" t="s">
        <v>52</v>
      </c>
      <c r="B19" s="62"/>
      <c r="D19" s="60" t="s">
        <v>203</v>
      </c>
      <c r="E19" s="61"/>
      <c r="F19" s="62"/>
      <c r="I19" s="55" t="s">
        <v>138</v>
      </c>
      <c r="J19" s="59" t="str">
        <f>IF(RAC!$C$18="MA",I19,"")</f>
        <v/>
      </c>
    </row>
    <row r="20" spans="1:10" s="58" customFormat="1" ht="26.4" x14ac:dyDescent="0.3">
      <c r="A20" s="60" t="s">
        <v>53</v>
      </c>
      <c r="B20" s="62"/>
      <c r="D20" s="60" t="s">
        <v>204</v>
      </c>
      <c r="E20" s="61"/>
      <c r="F20" s="62"/>
      <c r="I20" s="55" t="s">
        <v>139</v>
      </c>
      <c r="J20" s="59" t="str">
        <f>IF(RAC!$C$18="MA",I20,"")</f>
        <v/>
      </c>
    </row>
    <row r="21" spans="1:10" s="58" customFormat="1" ht="26.4" x14ac:dyDescent="0.3">
      <c r="A21" s="60" t="s">
        <v>13</v>
      </c>
      <c r="B21" s="62"/>
      <c r="D21" s="60" t="s">
        <v>205</v>
      </c>
      <c r="E21" s="61"/>
      <c r="F21" s="62"/>
      <c r="I21" s="55" t="s">
        <v>157</v>
      </c>
      <c r="J21" s="59" t="str">
        <f>IF(RAC!$C$18="MA",I21,"")</f>
        <v/>
      </c>
    </row>
    <row r="22" spans="1:10" s="58" customFormat="1" ht="26.4" x14ac:dyDescent="0.3">
      <c r="A22" s="60" t="s">
        <v>14</v>
      </c>
      <c r="B22" s="62"/>
      <c r="D22" s="60" t="s">
        <v>206</v>
      </c>
      <c r="E22" s="61"/>
      <c r="F22" s="62"/>
      <c r="I22" s="1" t="s">
        <v>195</v>
      </c>
      <c r="J22" s="1" t="str">
        <f>IF(RAC!$C$18="SSO",I22,"")</f>
        <v>Supervisores Seguridad y Salud Ocupacional</v>
      </c>
    </row>
    <row r="23" spans="1:10" s="58" customFormat="1" ht="26.4" x14ac:dyDescent="0.3">
      <c r="A23" s="60" t="s">
        <v>15</v>
      </c>
      <c r="B23" s="62"/>
      <c r="D23" s="60" t="s">
        <v>207</v>
      </c>
      <c r="E23" s="61"/>
      <c r="F23" s="62"/>
      <c r="I23" s="55" t="s">
        <v>141</v>
      </c>
      <c r="J23" s="59" t="str">
        <f>IF(RAC!$C$18="SSO",I23,"")</f>
        <v>ANGELA ALEJANDRA LOPEZ MEDINA DE ZAVALAGA</v>
      </c>
    </row>
    <row r="24" spans="1:10" s="58" customFormat="1" x14ac:dyDescent="0.3">
      <c r="A24" s="60" t="s">
        <v>39</v>
      </c>
      <c r="B24" s="62"/>
      <c r="D24" s="60" t="s">
        <v>208</v>
      </c>
      <c r="E24" s="61"/>
      <c r="F24" s="62"/>
      <c r="I24" s="55" t="s">
        <v>142</v>
      </c>
      <c r="J24" s="59" t="str">
        <f>IF(RAC!$C$18="SSO",I24,"")</f>
        <v>WALTER ADOLFO LINO MENDEZ</v>
      </c>
    </row>
    <row r="25" spans="1:10" s="58" customFormat="1" ht="26.4" x14ac:dyDescent="0.3">
      <c r="A25" s="60" t="s">
        <v>51</v>
      </c>
      <c r="B25" s="62"/>
      <c r="D25" s="60" t="s">
        <v>209</v>
      </c>
      <c r="E25" s="61"/>
      <c r="F25" s="62"/>
      <c r="I25" s="55" t="s">
        <v>143</v>
      </c>
      <c r="J25" s="59" t="str">
        <f>IF(RAC!$C$18="SSO",I25,"")</f>
        <v>CESAR OCTAVIO ALARCON RAMOS</v>
      </c>
    </row>
    <row r="26" spans="1:10" s="58" customFormat="1" ht="26.4" x14ac:dyDescent="0.3">
      <c r="A26" s="60" t="s">
        <v>16</v>
      </c>
      <c r="B26" s="62"/>
      <c r="D26" s="60" t="s">
        <v>210</v>
      </c>
      <c r="E26" s="61"/>
      <c r="F26" s="62"/>
      <c r="I26" s="55" t="s">
        <v>144</v>
      </c>
      <c r="J26" s="59" t="str">
        <f>IF(RAC!$C$18="SSO",I26,"")</f>
        <v>ELIZABETH MONTENEGRO SUAREZ</v>
      </c>
    </row>
    <row r="27" spans="1:10" s="58" customFormat="1" ht="26.4" x14ac:dyDescent="0.3">
      <c r="A27" s="60" t="s">
        <v>17</v>
      </c>
      <c r="B27" s="62"/>
      <c r="D27" s="60" t="s">
        <v>211</v>
      </c>
      <c r="E27" s="61"/>
      <c r="F27" s="62"/>
      <c r="I27" s="55" t="s">
        <v>145</v>
      </c>
      <c r="J27" s="59" t="str">
        <f>IF(RAC!$C$18="SSO",I27,"")</f>
        <v>EDWIN EDUARDO RIVERO GOMEZ</v>
      </c>
    </row>
    <row r="28" spans="1:10" s="58" customFormat="1" ht="27" customHeight="1" x14ac:dyDescent="0.3">
      <c r="A28" s="60" t="s">
        <v>18</v>
      </c>
      <c r="B28" s="62"/>
      <c r="D28" s="60" t="s">
        <v>212</v>
      </c>
      <c r="E28" s="61"/>
      <c r="F28" s="62"/>
      <c r="I28" s="55" t="s">
        <v>146</v>
      </c>
      <c r="J28" s="59" t="str">
        <f>IF(RAC!$C$18="SSO",I28,"")</f>
        <v>MARLON WILLY BUSCH RUDAS</v>
      </c>
    </row>
    <row r="29" spans="1:10" s="58" customFormat="1" ht="26.4" x14ac:dyDescent="0.3">
      <c r="A29" s="60" t="s">
        <v>19</v>
      </c>
      <c r="B29" s="62"/>
      <c r="D29" s="60" t="s">
        <v>213</v>
      </c>
      <c r="E29" s="61"/>
      <c r="F29" s="62"/>
      <c r="I29" s="55" t="s">
        <v>147</v>
      </c>
      <c r="J29" s="59" t="str">
        <f>IF(RAC!$C$18="SSO",I29,"")</f>
        <v>PEDELY CARLOS CLEMENTE VALVAS</v>
      </c>
    </row>
    <row r="30" spans="1:10" s="58" customFormat="1" x14ac:dyDescent="0.3">
      <c r="A30" s="60" t="s">
        <v>20</v>
      </c>
      <c r="B30" s="62"/>
      <c r="D30" s="60" t="s">
        <v>214</v>
      </c>
      <c r="E30" s="61"/>
      <c r="F30" s="62"/>
      <c r="I30" s="55" t="s">
        <v>148</v>
      </c>
      <c r="J30" s="59" t="str">
        <f>IF(RAC!$C$18="SSO",I30,"")</f>
        <v>EDGAR JAIME HIZO GOMERO</v>
      </c>
    </row>
    <row r="31" spans="1:10" s="58" customFormat="1" ht="26.4" x14ac:dyDescent="0.3">
      <c r="A31" s="60" t="s">
        <v>41</v>
      </c>
      <c r="B31" s="62"/>
      <c r="D31" s="60" t="s">
        <v>215</v>
      </c>
      <c r="E31" s="61"/>
      <c r="F31" s="62"/>
      <c r="I31" s="55" t="s">
        <v>149</v>
      </c>
      <c r="J31" s="59" t="str">
        <f>IF(RAC!$C$18="SSO",I31,"")</f>
        <v>CARLOS ALEJANDRO CUBAS DELGADO</v>
      </c>
    </row>
    <row r="32" spans="1:10" s="58" customFormat="1" ht="26.4" x14ac:dyDescent="0.3">
      <c r="A32" s="60" t="s">
        <v>42</v>
      </c>
      <c r="B32" s="62"/>
      <c r="C32" s="57"/>
      <c r="D32" s="57"/>
      <c r="E32" s="57"/>
      <c r="I32" s="55" t="s">
        <v>150</v>
      </c>
      <c r="J32" s="59" t="str">
        <f>IF(RAC!$C$18="SSO",I32,"")</f>
        <v>ROBERTO ERNESTO COBIAN VASQUEZ</v>
      </c>
    </row>
    <row r="33" spans="1:10" s="58" customFormat="1" ht="26.4" x14ac:dyDescent="0.3">
      <c r="A33" s="60" t="s">
        <v>163</v>
      </c>
      <c r="B33" s="62"/>
      <c r="C33" s="57"/>
      <c r="D33" s="57"/>
      <c r="E33" s="57"/>
      <c r="I33" s="55" t="s">
        <v>151</v>
      </c>
      <c r="J33" s="59" t="str">
        <f>IF(RAC!$C$18="SSO",I33,"")</f>
        <v>CARLOS MANUEL HUERTA MEJIA</v>
      </c>
    </row>
    <row r="34" spans="1:10" s="58" customFormat="1" ht="26.4" x14ac:dyDescent="0.3">
      <c r="A34" s="60" t="s">
        <v>43</v>
      </c>
      <c r="B34" s="62"/>
      <c r="C34" s="57"/>
      <c r="D34" s="57"/>
      <c r="E34" s="57"/>
      <c r="I34" s="55" t="s">
        <v>152</v>
      </c>
      <c r="J34" s="59" t="str">
        <f>IF(RAC!$C$18="SSO",I34,"")</f>
        <v>MIGUEL ANGEL CALDERON CARAZA</v>
      </c>
    </row>
    <row r="35" spans="1:10" s="58" customFormat="1" x14ac:dyDescent="0.3">
      <c r="A35" s="60" t="s">
        <v>21</v>
      </c>
      <c r="B35" s="62"/>
      <c r="C35" s="57"/>
      <c r="D35" s="57"/>
      <c r="E35" s="57"/>
    </row>
    <row r="36" spans="1:10" s="58" customFormat="1" x14ac:dyDescent="0.3">
      <c r="A36" s="60" t="s">
        <v>22</v>
      </c>
      <c r="B36" s="62"/>
      <c r="C36" s="57"/>
      <c r="D36" s="57"/>
      <c r="E36" s="57"/>
    </row>
    <row r="37" spans="1:10" s="58" customFormat="1" ht="12.75" customHeight="1" x14ac:dyDescent="0.3">
      <c r="A37" s="60" t="s">
        <v>161</v>
      </c>
      <c r="B37" s="62"/>
      <c r="C37" s="57"/>
      <c r="D37" s="57"/>
      <c r="E37" s="57"/>
    </row>
    <row r="38" spans="1:10" s="58" customFormat="1" x14ac:dyDescent="0.3">
      <c r="A38" s="60" t="s">
        <v>173</v>
      </c>
      <c r="B38" s="62"/>
      <c r="C38" s="57"/>
      <c r="D38" s="57"/>
      <c r="E38" s="57"/>
    </row>
    <row r="39" spans="1:10" s="58" customFormat="1" ht="12.75" customHeight="1" x14ac:dyDescent="0.3">
      <c r="A39" s="60" t="s">
        <v>169</v>
      </c>
      <c r="B39" s="62"/>
      <c r="C39" s="57"/>
      <c r="D39" s="57"/>
      <c r="E39" s="57"/>
    </row>
    <row r="40" spans="1:10" s="58" customFormat="1" ht="12.75" customHeight="1" x14ac:dyDescent="0.3">
      <c r="A40" s="60" t="s">
        <v>164</v>
      </c>
      <c r="B40" s="62"/>
      <c r="C40" s="57"/>
      <c r="D40" s="57"/>
      <c r="E40" s="57"/>
    </row>
    <row r="41" spans="1:10" s="58" customFormat="1" x14ac:dyDescent="0.3">
      <c r="A41" s="60" t="s">
        <v>167</v>
      </c>
      <c r="B41" s="62"/>
      <c r="C41" s="57"/>
      <c r="D41" s="57"/>
      <c r="E41" s="57"/>
    </row>
    <row r="42" spans="1:10" s="58" customFormat="1" ht="12.75" customHeight="1" x14ac:dyDescent="0.3">
      <c r="A42" s="60" t="s">
        <v>162</v>
      </c>
      <c r="B42" s="62"/>
      <c r="C42" s="57"/>
      <c r="D42" s="57"/>
      <c r="E42" s="57"/>
    </row>
    <row r="43" spans="1:10" s="58" customFormat="1" x14ac:dyDescent="0.3">
      <c r="A43" s="60" t="s">
        <v>23</v>
      </c>
      <c r="B43" s="62"/>
      <c r="C43" s="57"/>
      <c r="D43" s="57"/>
      <c r="E43" s="57"/>
    </row>
    <row r="44" spans="1:10" s="58" customFormat="1" x14ac:dyDescent="0.3">
      <c r="A44" s="60" t="s">
        <v>24</v>
      </c>
      <c r="B44" s="62"/>
      <c r="C44" s="57"/>
      <c r="D44" s="57"/>
      <c r="E44" s="57"/>
    </row>
    <row r="45" spans="1:10" s="58" customFormat="1" x14ac:dyDescent="0.3">
      <c r="A45" s="60" t="s">
        <v>172</v>
      </c>
      <c r="B45" s="62"/>
      <c r="C45" s="57"/>
      <c r="D45" s="57"/>
      <c r="E45" s="57"/>
    </row>
    <row r="46" spans="1:10" s="58" customFormat="1" x14ac:dyDescent="0.3">
      <c r="A46" s="60" t="s">
        <v>25</v>
      </c>
      <c r="B46" s="62"/>
      <c r="C46" s="57"/>
      <c r="D46" s="57"/>
      <c r="E46" s="57"/>
    </row>
    <row r="47" spans="1:10" s="58" customFormat="1" ht="12.75" customHeight="1" x14ac:dyDescent="0.3">
      <c r="A47" s="60" t="s">
        <v>168</v>
      </c>
      <c r="B47" s="62"/>
      <c r="C47" s="57"/>
      <c r="D47" s="57"/>
      <c r="E47" s="57"/>
    </row>
    <row r="48" spans="1:10" s="58" customFormat="1" x14ac:dyDescent="0.3">
      <c r="A48" s="60" t="s">
        <v>171</v>
      </c>
      <c r="B48" s="62"/>
      <c r="C48" s="57"/>
      <c r="D48" s="57"/>
      <c r="E48" s="57"/>
    </row>
    <row r="49" spans="1:5" s="58" customFormat="1" x14ac:dyDescent="0.3">
      <c r="A49" s="60" t="s">
        <v>26</v>
      </c>
      <c r="B49" s="62"/>
      <c r="C49" s="57"/>
      <c r="D49" s="57"/>
      <c r="E49" s="57"/>
    </row>
    <row r="50" spans="1:5" s="58" customFormat="1" x14ac:dyDescent="0.3">
      <c r="A50" s="60" t="s">
        <v>174</v>
      </c>
      <c r="B50" s="62"/>
      <c r="C50" s="57"/>
      <c r="D50" s="57"/>
      <c r="E50" s="57"/>
    </row>
    <row r="51" spans="1:5" s="58" customFormat="1" x14ac:dyDescent="0.3">
      <c r="A51" s="60" t="s">
        <v>27</v>
      </c>
      <c r="B51" s="62"/>
      <c r="C51" s="57"/>
      <c r="D51" s="57"/>
      <c r="E51" s="57"/>
    </row>
    <row r="52" spans="1:5" s="58" customFormat="1" x14ac:dyDescent="0.3">
      <c r="A52" s="60" t="s">
        <v>28</v>
      </c>
      <c r="B52" s="62"/>
      <c r="C52" s="57"/>
      <c r="D52" s="57"/>
      <c r="E52" s="57"/>
    </row>
    <row r="53" spans="1:5" s="58" customFormat="1" x14ac:dyDescent="0.3">
      <c r="A53" s="60" t="s">
        <v>44</v>
      </c>
      <c r="B53" s="62"/>
      <c r="C53" s="57"/>
      <c r="D53" s="57"/>
      <c r="E53" s="57"/>
    </row>
    <row r="54" spans="1:5" s="58" customFormat="1" ht="12.75" customHeight="1" x14ac:dyDescent="0.3">
      <c r="A54" s="60" t="s">
        <v>166</v>
      </c>
      <c r="B54" s="62"/>
      <c r="C54" s="57"/>
      <c r="D54" s="57"/>
      <c r="E54" s="57"/>
    </row>
    <row r="55" spans="1:5" s="58" customFormat="1" x14ac:dyDescent="0.3">
      <c r="A55" s="60" t="s">
        <v>29</v>
      </c>
      <c r="B55" s="62"/>
      <c r="C55" s="57"/>
      <c r="D55" s="57"/>
      <c r="E55" s="57"/>
    </row>
    <row r="56" spans="1:5" s="58" customFormat="1" x14ac:dyDescent="0.3">
      <c r="A56" s="60" t="s">
        <v>45</v>
      </c>
      <c r="B56" s="62"/>
      <c r="C56" s="57"/>
      <c r="D56" s="57"/>
      <c r="E56" s="57"/>
    </row>
    <row r="57" spans="1:5" s="58" customFormat="1" x14ac:dyDescent="0.3">
      <c r="A57" s="60" t="s">
        <v>30</v>
      </c>
      <c r="B57" s="62"/>
      <c r="C57" s="57"/>
      <c r="D57" s="57"/>
      <c r="E57" s="57"/>
    </row>
    <row r="58" spans="1:5" s="58" customFormat="1" x14ac:dyDescent="0.3">
      <c r="A58" s="60" t="s">
        <v>31</v>
      </c>
      <c r="B58" s="62"/>
      <c r="C58" s="57"/>
      <c r="D58" s="57"/>
      <c r="E58" s="57"/>
    </row>
    <row r="59" spans="1:5" s="58" customFormat="1" x14ac:dyDescent="0.3">
      <c r="A59" s="60" t="s">
        <v>46</v>
      </c>
      <c r="B59" s="62"/>
      <c r="C59" s="57"/>
      <c r="D59" s="57"/>
      <c r="E59" s="57"/>
    </row>
    <row r="60" spans="1:5" s="58" customFormat="1" x14ac:dyDescent="0.3">
      <c r="A60" s="60" t="s">
        <v>32</v>
      </c>
      <c r="B60" s="62"/>
      <c r="C60" s="57"/>
      <c r="D60" s="57"/>
      <c r="E60" s="57"/>
    </row>
    <row r="61" spans="1:5" s="58" customFormat="1" x14ac:dyDescent="0.3">
      <c r="A61" s="60" t="s">
        <v>47</v>
      </c>
      <c r="B61" s="62"/>
      <c r="C61" s="57"/>
      <c r="D61" s="57"/>
      <c r="E61" s="57"/>
    </row>
    <row r="62" spans="1:5" s="58" customFormat="1" x14ac:dyDescent="0.3">
      <c r="A62" s="60" t="s">
        <v>33</v>
      </c>
      <c r="B62" s="62"/>
      <c r="C62" s="57"/>
      <c r="D62" s="57"/>
      <c r="E62" s="57"/>
    </row>
    <row r="63" spans="1:5" s="58" customFormat="1" x14ac:dyDescent="0.3">
      <c r="A63" s="60" t="s">
        <v>48</v>
      </c>
      <c r="B63" s="62"/>
      <c r="C63" s="57"/>
      <c r="D63" s="57"/>
      <c r="E63" s="57"/>
    </row>
    <row r="64" spans="1:5" s="58" customFormat="1" ht="12.75" customHeight="1" x14ac:dyDescent="0.3">
      <c r="A64" s="60" t="s">
        <v>165</v>
      </c>
      <c r="B64" s="62"/>
      <c r="C64" s="57"/>
      <c r="D64" s="57"/>
      <c r="E64" s="57"/>
    </row>
    <row r="65" spans="1:5" s="58" customFormat="1" x14ac:dyDescent="0.3">
      <c r="A65" s="60" t="s">
        <v>34</v>
      </c>
      <c r="B65" s="62"/>
      <c r="C65" s="57"/>
      <c r="D65" s="57"/>
      <c r="E65" s="57"/>
    </row>
    <row r="66" spans="1:5" s="58" customFormat="1" x14ac:dyDescent="0.3">
      <c r="A66" s="60" t="s">
        <v>35</v>
      </c>
      <c r="B66" s="62"/>
      <c r="C66" s="57"/>
      <c r="D66" s="57"/>
      <c r="E66" s="57"/>
    </row>
    <row r="67" spans="1:5" s="58" customFormat="1" x14ac:dyDescent="0.3">
      <c r="A67" s="60" t="s">
        <v>36</v>
      </c>
      <c r="B67" s="62"/>
      <c r="C67" s="57"/>
      <c r="D67" s="57"/>
      <c r="E67" s="57"/>
    </row>
    <row r="68" spans="1:5" s="58" customFormat="1" x14ac:dyDescent="0.3">
      <c r="A68" s="60" t="s">
        <v>49</v>
      </c>
      <c r="B68" s="62"/>
      <c r="C68" s="57"/>
      <c r="D68" s="57"/>
      <c r="E68" s="57"/>
    </row>
    <row r="69" spans="1:5" s="58" customFormat="1" x14ac:dyDescent="0.3">
      <c r="A69" s="60" t="s">
        <v>37</v>
      </c>
      <c r="B69" s="62"/>
      <c r="C69" s="57"/>
      <c r="D69" s="57"/>
      <c r="E69" s="57"/>
    </row>
    <row r="70" spans="1:5" s="58" customFormat="1" x14ac:dyDescent="0.3">
      <c r="A70" s="60" t="s">
        <v>160</v>
      </c>
      <c r="B70" s="62"/>
      <c r="C70" s="57"/>
      <c r="D70" s="57"/>
      <c r="E70" s="57"/>
    </row>
    <row r="71" spans="1:5" s="58" customFormat="1" x14ac:dyDescent="0.3">
      <c r="A71" s="60" t="s">
        <v>50</v>
      </c>
      <c r="B71" s="62"/>
      <c r="C71" s="57"/>
      <c r="D71" s="57"/>
      <c r="E71" s="57"/>
    </row>
    <row r="72" spans="1:5" s="58" customFormat="1" x14ac:dyDescent="0.3">
      <c r="A72" s="57"/>
      <c r="B72" s="57"/>
      <c r="C72" s="57"/>
      <c r="D72" s="57"/>
      <c r="E72" s="57"/>
    </row>
    <row r="73" spans="1:5" s="58" customFormat="1" x14ac:dyDescent="0.3">
      <c r="A73" s="57"/>
      <c r="B73" s="57"/>
      <c r="C73" s="57"/>
      <c r="D73" s="57"/>
      <c r="E73" s="57"/>
    </row>
    <row r="74" spans="1:5" s="58" customFormat="1" x14ac:dyDescent="0.3">
      <c r="A74" s="57"/>
      <c r="B74" s="57"/>
      <c r="C74" s="57"/>
      <c r="D74" s="57"/>
      <c r="E74" s="57"/>
    </row>
    <row r="75" spans="1:5" s="58" customFormat="1" x14ac:dyDescent="0.3">
      <c r="A75" s="57"/>
      <c r="B75" s="57"/>
      <c r="C75" s="57"/>
      <c r="D75" s="57"/>
      <c r="E75" s="57"/>
    </row>
    <row r="76" spans="1:5" s="58" customFormat="1" x14ac:dyDescent="0.3">
      <c r="A76" s="57"/>
      <c r="B76" s="57"/>
      <c r="C76" s="57"/>
      <c r="D76" s="57"/>
      <c r="E76" s="57"/>
    </row>
    <row r="77" spans="1:5" s="58" customFormat="1" x14ac:dyDescent="0.3">
      <c r="A77" s="57"/>
      <c r="B77" s="57"/>
      <c r="C77" s="57"/>
      <c r="D77" s="57"/>
      <c r="E77" s="57"/>
    </row>
    <row r="78" spans="1:5" s="58" customFormat="1" x14ac:dyDescent="0.3">
      <c r="A78" s="57"/>
      <c r="B78" s="57"/>
      <c r="C78" s="57"/>
      <c r="D78" s="57"/>
      <c r="E78" s="57"/>
    </row>
    <row r="79" spans="1:5" s="58" customFormat="1" x14ac:dyDescent="0.3">
      <c r="A79" s="57"/>
      <c r="B79" s="57"/>
      <c r="C79" s="57"/>
      <c r="D79" s="57"/>
      <c r="E79" s="57"/>
    </row>
    <row r="80" spans="1:5" s="58" customFormat="1" x14ac:dyDescent="0.3">
      <c r="A80" s="57"/>
      <c r="B80" s="57"/>
      <c r="C80" s="57"/>
      <c r="D80" s="57"/>
      <c r="E80" s="57"/>
    </row>
    <row r="81" spans="1:5" s="58" customFormat="1" x14ac:dyDescent="0.3">
      <c r="A81" s="57"/>
      <c r="B81" s="57"/>
      <c r="C81" s="57"/>
      <c r="D81" s="57"/>
      <c r="E81" s="57"/>
    </row>
    <row r="82" spans="1:5" s="58" customFormat="1" x14ac:dyDescent="0.3">
      <c r="A82" s="57"/>
      <c r="B82" s="57"/>
      <c r="C82" s="57"/>
      <c r="D82" s="57"/>
      <c r="E82" s="57"/>
    </row>
    <row r="83" spans="1:5" s="58" customFormat="1" x14ac:dyDescent="0.3">
      <c r="A83" s="57"/>
      <c r="B83" s="57"/>
      <c r="C83" s="57"/>
      <c r="D83" s="57"/>
      <c r="E83" s="57"/>
    </row>
    <row r="84" spans="1:5" s="58" customFormat="1" x14ac:dyDescent="0.3">
      <c r="A84" s="57"/>
      <c r="B84" s="57"/>
      <c r="C84" s="57"/>
      <c r="D84" s="57"/>
      <c r="E84" s="57"/>
    </row>
    <row r="85" spans="1:5" s="58" customFormat="1" x14ac:dyDescent="0.3">
      <c r="A85" s="57"/>
      <c r="B85" s="57"/>
      <c r="C85" s="57"/>
      <c r="D85" s="57"/>
      <c r="E85" s="57"/>
    </row>
    <row r="86" spans="1:5" s="58" customFormat="1" x14ac:dyDescent="0.3">
      <c r="A86" s="57"/>
      <c r="B86" s="57"/>
      <c r="C86" s="57"/>
      <c r="D86" s="57"/>
      <c r="E86" s="57"/>
    </row>
    <row r="87" spans="1:5" s="58" customFormat="1" x14ac:dyDescent="0.3">
      <c r="A87" s="57"/>
      <c r="B87" s="57"/>
      <c r="C87" s="57"/>
      <c r="D87" s="57"/>
      <c r="E87" s="57"/>
    </row>
    <row r="88" spans="1:5" s="58" customFormat="1" x14ac:dyDescent="0.3">
      <c r="A88" s="57"/>
      <c r="B88" s="57"/>
      <c r="C88" s="57"/>
      <c r="D88" s="57"/>
      <c r="E88" s="57"/>
    </row>
    <row r="89" spans="1:5" s="58" customFormat="1" x14ac:dyDescent="0.3">
      <c r="A89" s="57"/>
      <c r="B89" s="57"/>
      <c r="C89" s="57"/>
      <c r="D89" s="57"/>
      <c r="E89" s="57"/>
    </row>
    <row r="90" spans="1:5" s="58" customFormat="1" x14ac:dyDescent="0.3">
      <c r="A90" s="57"/>
      <c r="B90" s="57"/>
      <c r="C90" s="57"/>
      <c r="D90" s="57"/>
      <c r="E90" s="57"/>
    </row>
    <row r="91" spans="1:5" s="58" customFormat="1" x14ac:dyDescent="0.3">
      <c r="A91" s="57"/>
      <c r="B91" s="57"/>
      <c r="C91" s="57"/>
      <c r="D91" s="57"/>
      <c r="E91" s="57"/>
    </row>
    <row r="92" spans="1:5" s="58" customFormat="1" x14ac:dyDescent="0.3">
      <c r="A92" s="57"/>
      <c r="B92" s="57"/>
      <c r="C92" s="57"/>
      <c r="D92" s="57"/>
      <c r="E92" s="57"/>
    </row>
    <row r="93" spans="1:5" s="58" customFormat="1" x14ac:dyDescent="0.3">
      <c r="A93" s="57"/>
      <c r="B93" s="57"/>
      <c r="C93" s="57"/>
      <c r="D93" s="57"/>
      <c r="E93" s="57"/>
    </row>
    <row r="94" spans="1:5" s="58" customFormat="1" x14ac:dyDescent="0.3">
      <c r="A94" s="57"/>
      <c r="B94" s="57"/>
      <c r="C94" s="57"/>
      <c r="D94" s="57"/>
      <c r="E94" s="57"/>
    </row>
    <row r="95" spans="1:5" s="58" customFormat="1" x14ac:dyDescent="0.3">
      <c r="A95" s="57"/>
      <c r="B95" s="57"/>
      <c r="C95" s="57"/>
      <c r="D95" s="57"/>
      <c r="E95" s="57"/>
    </row>
    <row r="96" spans="1:5" s="58" customFormat="1" x14ac:dyDescent="0.3">
      <c r="A96" s="57"/>
      <c r="B96" s="57"/>
      <c r="C96" s="57"/>
      <c r="D96" s="57"/>
      <c r="E96" s="57"/>
    </row>
    <row r="97" spans="1:5" s="58" customFormat="1" x14ac:dyDescent="0.3">
      <c r="A97" s="57"/>
      <c r="B97" s="57"/>
      <c r="C97" s="57"/>
      <c r="D97" s="57"/>
      <c r="E97" s="57"/>
    </row>
    <row r="98" spans="1:5" s="58" customFormat="1" x14ac:dyDescent="0.3">
      <c r="A98" s="57"/>
      <c r="B98" s="57"/>
      <c r="C98" s="57"/>
      <c r="D98" s="57"/>
      <c r="E98" s="57"/>
    </row>
    <row r="99" spans="1:5" s="58" customFormat="1" x14ac:dyDescent="0.3">
      <c r="A99" s="57"/>
      <c r="B99" s="57"/>
      <c r="C99" s="57"/>
      <c r="D99" s="57"/>
      <c r="E99" s="57"/>
    </row>
    <row r="100" spans="1:5" s="58" customFormat="1" x14ac:dyDescent="0.3">
      <c r="A100" s="57"/>
      <c r="B100" s="57"/>
      <c r="C100" s="57"/>
      <c r="D100" s="57"/>
      <c r="E100" s="57"/>
    </row>
    <row r="101" spans="1:5" s="58" customFormat="1" x14ac:dyDescent="0.3">
      <c r="A101" s="57"/>
      <c r="B101" s="57"/>
      <c r="C101" s="57"/>
      <c r="D101" s="57"/>
      <c r="E101" s="57"/>
    </row>
    <row r="102" spans="1:5" s="58" customFormat="1" x14ac:dyDescent="0.3">
      <c r="A102" s="57"/>
      <c r="B102" s="57"/>
      <c r="C102" s="57"/>
      <c r="D102" s="57"/>
      <c r="E102" s="57"/>
    </row>
    <row r="103" spans="1:5" s="58" customFormat="1" x14ac:dyDescent="0.3">
      <c r="A103" s="57"/>
      <c r="B103" s="57"/>
      <c r="C103" s="57"/>
      <c r="D103" s="57"/>
      <c r="E103" s="57"/>
    </row>
    <row r="104" spans="1:5" s="58" customFormat="1" x14ac:dyDescent="0.3">
      <c r="A104" s="57"/>
      <c r="B104" s="57"/>
      <c r="C104" s="57"/>
      <c r="D104" s="57"/>
      <c r="E104" s="57"/>
    </row>
    <row r="105" spans="1:5" s="58" customFormat="1" x14ac:dyDescent="0.3">
      <c r="A105" s="57"/>
      <c r="B105" s="57"/>
      <c r="C105" s="57"/>
      <c r="D105" s="57"/>
      <c r="E105" s="57"/>
    </row>
    <row r="106" spans="1:5" s="58" customFormat="1" x14ac:dyDescent="0.3">
      <c r="A106" s="57"/>
      <c r="B106" s="57"/>
      <c r="C106" s="57"/>
      <c r="D106" s="57"/>
      <c r="E106" s="57"/>
    </row>
    <row r="107" spans="1:5" s="58" customFormat="1" x14ac:dyDescent="0.3">
      <c r="A107" s="57"/>
      <c r="B107" s="57"/>
      <c r="C107" s="57"/>
      <c r="D107" s="57"/>
      <c r="E107" s="57"/>
    </row>
    <row r="108" spans="1:5" s="58" customFormat="1" x14ac:dyDescent="0.3">
      <c r="A108" s="57"/>
      <c r="B108" s="57"/>
      <c r="C108" s="57"/>
      <c r="D108" s="57"/>
      <c r="E108" s="57"/>
    </row>
    <row r="109" spans="1:5" s="58" customFormat="1" x14ac:dyDescent="0.3">
      <c r="A109" s="57"/>
      <c r="B109" s="57"/>
      <c r="C109" s="57"/>
      <c r="D109" s="57"/>
      <c r="E109" s="57"/>
    </row>
    <row r="110" spans="1:5" s="58" customFormat="1" x14ac:dyDescent="0.3">
      <c r="A110" s="57"/>
      <c r="B110" s="57"/>
      <c r="C110" s="57"/>
      <c r="D110" s="57"/>
      <c r="E110" s="57"/>
    </row>
    <row r="111" spans="1:5" s="58" customFormat="1" x14ac:dyDescent="0.3">
      <c r="A111" s="57"/>
      <c r="B111" s="57"/>
      <c r="C111" s="57"/>
      <c r="D111" s="57"/>
      <c r="E111" s="57"/>
    </row>
    <row r="112" spans="1:5" s="58" customFormat="1" x14ac:dyDescent="0.3">
      <c r="A112" s="57"/>
      <c r="B112" s="57"/>
      <c r="C112" s="57"/>
      <c r="D112" s="57"/>
      <c r="E112" s="57"/>
    </row>
    <row r="113" spans="1:5" s="58" customFormat="1" x14ac:dyDescent="0.3">
      <c r="A113" s="57"/>
      <c r="B113" s="57"/>
      <c r="C113" s="57"/>
      <c r="D113" s="57"/>
      <c r="E113" s="57"/>
    </row>
    <row r="114" spans="1:5" s="58" customFormat="1" x14ac:dyDescent="0.3">
      <c r="A114" s="57"/>
      <c r="B114" s="57"/>
      <c r="C114" s="57"/>
      <c r="D114" s="57"/>
      <c r="E114" s="57"/>
    </row>
    <row r="115" spans="1:5" s="58" customFormat="1" x14ac:dyDescent="0.3">
      <c r="A115" s="57"/>
      <c r="B115" s="57"/>
      <c r="C115" s="57"/>
      <c r="D115" s="57"/>
      <c r="E115" s="57"/>
    </row>
    <row r="116" spans="1:5" s="58" customFormat="1" x14ac:dyDescent="0.3">
      <c r="A116" s="57"/>
      <c r="B116" s="57"/>
      <c r="C116" s="57"/>
      <c r="D116" s="57"/>
      <c r="E116" s="57"/>
    </row>
    <row r="117" spans="1:5" x14ac:dyDescent="0.25">
      <c r="A117" s="56"/>
      <c r="B117" s="56"/>
      <c r="C117" s="56"/>
      <c r="D117" s="56"/>
      <c r="E117" s="56"/>
    </row>
    <row r="118" spans="1:5" x14ac:dyDescent="0.25">
      <c r="A118" s="56"/>
      <c r="B118" s="56"/>
      <c r="C118" s="56"/>
      <c r="D118" s="56"/>
      <c r="E118" s="56"/>
    </row>
    <row r="119" spans="1:5" x14ac:dyDescent="0.25">
      <c r="A119" s="56"/>
      <c r="B119" s="56"/>
      <c r="C119" s="56"/>
      <c r="D119" s="56"/>
      <c r="E119" s="56"/>
    </row>
    <row r="120" spans="1:5" x14ac:dyDescent="0.25">
      <c r="A120" s="56"/>
      <c r="B120" s="56"/>
      <c r="C120" s="56"/>
      <c r="D120" s="56"/>
      <c r="E120" s="56"/>
    </row>
    <row r="121" spans="1:5" x14ac:dyDescent="0.25">
      <c r="A121" s="56"/>
      <c r="B121" s="56"/>
      <c r="C121" s="56"/>
      <c r="D121" s="56"/>
      <c r="E121" s="56"/>
    </row>
    <row r="122" spans="1:5" x14ac:dyDescent="0.25">
      <c r="A122" s="56"/>
      <c r="B122" s="56"/>
      <c r="C122" s="56"/>
      <c r="D122" s="56"/>
      <c r="E122" s="56"/>
    </row>
    <row r="123" spans="1:5" x14ac:dyDescent="0.25">
      <c r="A123" s="56"/>
      <c r="B123" s="56"/>
      <c r="C123" s="56"/>
      <c r="D123" s="56"/>
      <c r="E123" s="56"/>
    </row>
    <row r="124" spans="1:5" x14ac:dyDescent="0.25">
      <c r="A124" s="56"/>
      <c r="B124" s="56"/>
      <c r="C124" s="56"/>
      <c r="D124" s="56"/>
      <c r="E124" s="56"/>
    </row>
    <row r="125" spans="1:5" x14ac:dyDescent="0.25">
      <c r="A125" s="56"/>
      <c r="B125" s="56"/>
      <c r="C125" s="56"/>
      <c r="D125" s="56"/>
      <c r="E125" s="56"/>
    </row>
    <row r="126" spans="1:5" x14ac:dyDescent="0.25">
      <c r="A126" s="56"/>
      <c r="B126" s="56"/>
      <c r="C126" s="56"/>
      <c r="D126" s="56"/>
      <c r="E126" s="56"/>
    </row>
    <row r="127" spans="1:5" x14ac:dyDescent="0.25">
      <c r="A127" s="56"/>
      <c r="B127" s="56"/>
      <c r="C127" s="56"/>
      <c r="D127" s="56"/>
      <c r="E127" s="56"/>
    </row>
    <row r="128" spans="1:5" x14ac:dyDescent="0.25">
      <c r="A128" s="56"/>
      <c r="B128" s="56"/>
      <c r="C128" s="56"/>
      <c r="D128" s="56"/>
      <c r="E128" s="56"/>
    </row>
    <row r="129" spans="1:5" x14ac:dyDescent="0.25">
      <c r="A129" s="56"/>
      <c r="B129" s="56"/>
      <c r="C129" s="56"/>
      <c r="D129" s="56"/>
      <c r="E129" s="56"/>
    </row>
    <row r="130" spans="1:5" x14ac:dyDescent="0.25">
      <c r="A130" s="56"/>
      <c r="B130" s="56"/>
      <c r="C130" s="56"/>
      <c r="D130" s="56"/>
      <c r="E130" s="56"/>
    </row>
    <row r="131" spans="1:5" x14ac:dyDescent="0.25">
      <c r="A131" s="56"/>
      <c r="B131" s="56"/>
      <c r="C131" s="56"/>
      <c r="D131" s="56"/>
      <c r="E131" s="56"/>
    </row>
  </sheetData>
  <sortState xmlns:xlrd2="http://schemas.microsoft.com/office/spreadsheetml/2017/richdata2" ref="J19:J51">
    <sortCondition ref="J19"/>
  </sortState>
  <mergeCells count="2">
    <mergeCell ref="A12:B12"/>
    <mergeCell ref="D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0000"/>
    <pageSetUpPr fitToPage="1"/>
  </sheetPr>
  <dimension ref="B1:X29"/>
  <sheetViews>
    <sheetView showGridLines="0" tabSelected="1" view="pageBreakPreview" zoomScale="82" zoomScaleNormal="82" zoomScaleSheetLayoutView="82" workbookViewId="0">
      <selection activeCell="E3" sqref="E3:F3"/>
    </sheetView>
  </sheetViews>
  <sheetFormatPr baseColWidth="10" defaultColWidth="11.44140625" defaultRowHeight="13.2" x14ac:dyDescent="0.25"/>
  <cols>
    <col min="1" max="1" width="1.6640625" style="8" customWidth="1"/>
    <col min="2" max="2" width="22" style="8" customWidth="1"/>
    <col min="3" max="3" width="4.88671875" style="8" customWidth="1"/>
    <col min="4" max="4" width="2.109375" style="8" customWidth="1"/>
    <col min="5" max="5" width="12.88671875" style="8" customWidth="1"/>
    <col min="6" max="6" width="9.33203125" style="8" customWidth="1"/>
    <col min="7" max="7" width="10.6640625" style="8" customWidth="1"/>
    <col min="8" max="8" width="8.6640625" style="8" customWidth="1"/>
    <col min="9" max="9" width="12.44140625" style="8" customWidth="1"/>
    <col min="10" max="10" width="7.5546875" style="8" customWidth="1"/>
    <col min="11" max="11" width="11.6640625" style="8" customWidth="1"/>
    <col min="12" max="13" width="5" style="8" customWidth="1"/>
    <col min="14" max="14" width="11.6640625" style="8" customWidth="1"/>
    <col min="15" max="15" width="21.33203125" style="8" customWidth="1"/>
    <col min="16" max="20" width="14.88671875" style="8" customWidth="1"/>
    <col min="21" max="22" width="13.6640625" style="8" customWidth="1"/>
    <col min="23" max="24" width="11.5546875" style="9" customWidth="1"/>
    <col min="25" max="16384" width="11.44140625" style="8"/>
  </cols>
  <sheetData>
    <row r="1" spans="2:24" ht="6.6" customHeight="1" x14ac:dyDescent="0.25"/>
    <row r="2" spans="2:24" ht="27.75" customHeight="1" x14ac:dyDescent="0.25">
      <c r="B2" s="91"/>
      <c r="C2" s="84" t="s">
        <v>218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6"/>
      <c r="O2" s="94"/>
      <c r="P2" s="10"/>
      <c r="Q2" s="10"/>
      <c r="R2" s="10"/>
      <c r="S2" s="10"/>
      <c r="T2" s="10"/>
      <c r="U2" s="10"/>
      <c r="V2" s="10"/>
    </row>
    <row r="3" spans="2:24" x14ac:dyDescent="0.25">
      <c r="B3" s="92"/>
      <c r="C3" s="111" t="s">
        <v>179</v>
      </c>
      <c r="D3" s="112"/>
      <c r="E3" s="113" t="s">
        <v>220</v>
      </c>
      <c r="F3" s="114"/>
      <c r="G3" s="41" t="s">
        <v>178</v>
      </c>
      <c r="H3" s="42"/>
      <c r="I3" s="48">
        <v>43466</v>
      </c>
      <c r="J3" s="40" t="s">
        <v>176</v>
      </c>
      <c r="K3" s="98">
        <v>0</v>
      </c>
      <c r="L3" s="98"/>
      <c r="M3" s="98"/>
      <c r="N3" s="99"/>
      <c r="O3" s="94"/>
      <c r="P3" s="10"/>
      <c r="Q3" s="10"/>
      <c r="R3" s="10"/>
      <c r="S3" s="10"/>
      <c r="T3" s="10"/>
      <c r="U3" s="10"/>
      <c r="V3" s="10"/>
    </row>
    <row r="4" spans="2:24" x14ac:dyDescent="0.25">
      <c r="B4" s="93"/>
      <c r="C4" s="42" t="s">
        <v>0</v>
      </c>
      <c r="D4" s="43"/>
      <c r="E4" s="43"/>
      <c r="F4" s="44"/>
      <c r="G4" s="117" t="s">
        <v>175</v>
      </c>
      <c r="H4" s="115">
        <v>1</v>
      </c>
      <c r="I4" s="116"/>
      <c r="J4" s="97" t="s">
        <v>177</v>
      </c>
      <c r="K4" s="98"/>
      <c r="L4" s="100">
        <v>43821</v>
      </c>
      <c r="M4" s="100"/>
      <c r="N4" s="101"/>
      <c r="O4" s="94"/>
      <c r="P4" s="10"/>
      <c r="Q4" s="10"/>
      <c r="R4" s="10"/>
      <c r="S4" s="10"/>
      <c r="T4" s="10"/>
      <c r="U4" s="10"/>
      <c r="V4" s="10"/>
    </row>
    <row r="5" spans="2:24" ht="18.75" customHeight="1" x14ac:dyDescent="0.25">
      <c r="P5" s="10"/>
      <c r="Q5" s="10"/>
      <c r="R5" s="10"/>
      <c r="S5" s="10"/>
      <c r="T5" s="10"/>
    </row>
    <row r="6" spans="2:24" ht="21.75" customHeight="1" x14ac:dyDescent="0.25">
      <c r="B6" s="87" t="s">
        <v>6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9"/>
      <c r="P6" s="10"/>
      <c r="Q6" s="10"/>
      <c r="R6" s="10"/>
      <c r="S6" s="10"/>
      <c r="T6" s="10"/>
    </row>
    <row r="7" spans="2:24" ht="3" customHeight="1" x14ac:dyDescent="0.25"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0"/>
      <c r="Q7" s="10"/>
      <c r="R7" s="10"/>
      <c r="S7" s="10"/>
      <c r="T7" s="10"/>
      <c r="U7" s="12"/>
      <c r="V7" s="12"/>
    </row>
    <row r="8" spans="2:24" s="16" customFormat="1" ht="34.5" customHeight="1" x14ac:dyDescent="0.3">
      <c r="B8" s="14" t="s">
        <v>7</v>
      </c>
      <c r="C8" s="69"/>
      <c r="D8" s="69"/>
      <c r="E8" s="69"/>
      <c r="F8" s="69"/>
      <c r="G8" s="69"/>
      <c r="H8" s="69"/>
      <c r="I8" s="7" t="s">
        <v>186</v>
      </c>
      <c r="J8" s="77"/>
      <c r="K8" s="77"/>
      <c r="L8" s="77"/>
      <c r="M8" s="77"/>
      <c r="N8" s="77"/>
      <c r="O8" s="77"/>
      <c r="S8" s="10"/>
      <c r="T8" s="10"/>
      <c r="U8" s="17"/>
      <c r="V8" s="17"/>
      <c r="W8" s="18"/>
      <c r="X8" s="18"/>
    </row>
    <row r="9" spans="2:24" ht="3" customHeight="1" x14ac:dyDescent="0.25">
      <c r="B9" s="11"/>
      <c r="C9" s="12"/>
      <c r="D9" s="12"/>
      <c r="E9" s="12"/>
      <c r="F9" s="12"/>
      <c r="G9" s="12"/>
      <c r="H9" s="12"/>
      <c r="L9" s="95"/>
      <c r="M9" s="95"/>
      <c r="N9" s="95"/>
      <c r="O9" s="96"/>
      <c r="P9" s="10"/>
      <c r="Q9" s="10"/>
      <c r="R9" s="10"/>
      <c r="S9" s="10"/>
      <c r="T9" s="10"/>
      <c r="U9" s="12"/>
      <c r="V9" s="12"/>
    </row>
    <row r="10" spans="2:24" s="16" customFormat="1" ht="34.5" customHeight="1" x14ac:dyDescent="0.3">
      <c r="B10" s="19" t="s">
        <v>3</v>
      </c>
      <c r="C10" s="69"/>
      <c r="D10" s="69"/>
      <c r="E10" s="69"/>
      <c r="F10" s="69"/>
      <c r="G10" s="69"/>
      <c r="H10" s="69"/>
      <c r="I10" s="7" t="s">
        <v>187</v>
      </c>
      <c r="J10" s="69"/>
      <c r="K10" s="69"/>
      <c r="L10" s="69"/>
      <c r="M10" s="69"/>
      <c r="N10" s="69"/>
      <c r="O10" s="69"/>
      <c r="P10" s="10"/>
      <c r="Q10" s="10"/>
      <c r="R10" s="10"/>
      <c r="S10" s="10"/>
      <c r="T10" s="10"/>
      <c r="U10" s="17"/>
      <c r="V10" s="17"/>
      <c r="W10" s="18"/>
      <c r="X10" s="18"/>
    </row>
    <row r="11" spans="2:24" ht="3" customHeight="1" x14ac:dyDescent="0.25"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0"/>
      <c r="Q11" s="10"/>
      <c r="R11" s="10"/>
      <c r="S11" s="10"/>
      <c r="T11" s="10"/>
      <c r="U11" s="12"/>
      <c r="V11" s="12"/>
    </row>
    <row r="12" spans="2:24" ht="22.2" customHeight="1" x14ac:dyDescent="0.25">
      <c r="B12" s="90" t="s">
        <v>158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10"/>
      <c r="Q12" s="10"/>
      <c r="R12" s="10"/>
      <c r="S12" s="10"/>
      <c r="T12" s="10"/>
      <c r="U12" s="12"/>
      <c r="V12" s="12"/>
    </row>
    <row r="13" spans="2:24" ht="7.2" customHeight="1" x14ac:dyDescent="0.25"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10"/>
      <c r="Q13" s="10"/>
      <c r="R13" s="10"/>
      <c r="S13" s="10"/>
      <c r="T13" s="10"/>
      <c r="U13" s="12"/>
      <c r="V13" s="12"/>
    </row>
    <row r="14" spans="2:24" ht="35.1" customHeight="1" x14ac:dyDescent="0.25">
      <c r="B14" s="23" t="s">
        <v>180</v>
      </c>
      <c r="C14" s="77"/>
      <c r="D14" s="77"/>
      <c r="E14" s="77"/>
      <c r="F14" s="77"/>
      <c r="G14" s="77"/>
      <c r="H14" s="75" t="s">
        <v>181</v>
      </c>
      <c r="I14" s="76"/>
      <c r="J14" s="70"/>
      <c r="K14" s="71"/>
      <c r="L14" s="71"/>
      <c r="M14" s="71"/>
      <c r="N14" s="71"/>
      <c r="O14" s="72"/>
      <c r="P14" s="10"/>
    </row>
    <row r="15" spans="2:24" ht="3" customHeight="1" x14ac:dyDescent="0.25">
      <c r="B15" s="24"/>
      <c r="C15" s="12"/>
      <c r="D15" s="12"/>
      <c r="E15" s="12"/>
      <c r="F15" s="12"/>
      <c r="G15" s="12"/>
      <c r="H15" s="12"/>
      <c r="I15" s="25"/>
      <c r="J15" s="25"/>
      <c r="K15" s="25"/>
      <c r="L15" s="12"/>
      <c r="M15" s="12"/>
      <c r="N15" s="12"/>
      <c r="O15" s="13"/>
      <c r="P15" s="10"/>
      <c r="Q15" s="12"/>
      <c r="R15" s="12"/>
      <c r="S15" s="12"/>
      <c r="T15" s="12"/>
      <c r="U15" s="12"/>
      <c r="V15" s="12"/>
    </row>
    <row r="16" spans="2:24" ht="35.1" customHeight="1" x14ac:dyDescent="0.25">
      <c r="B16" s="26" t="s">
        <v>184</v>
      </c>
      <c r="C16" s="69"/>
      <c r="D16" s="69"/>
      <c r="E16" s="69"/>
      <c r="F16" s="69"/>
      <c r="G16" s="69"/>
      <c r="H16" s="47"/>
      <c r="I16" s="15" t="s">
        <v>4</v>
      </c>
      <c r="J16" s="73"/>
      <c r="K16" s="74"/>
      <c r="L16" s="12"/>
      <c r="M16" s="12"/>
      <c r="N16" s="27" t="s">
        <v>5</v>
      </c>
      <c r="O16" s="28"/>
      <c r="P16" s="10"/>
      <c r="Q16" s="29"/>
      <c r="R16" s="29"/>
      <c r="S16" s="29"/>
      <c r="T16" s="29"/>
      <c r="U16" s="29"/>
      <c r="V16" s="29"/>
    </row>
    <row r="17" spans="2:24" ht="3" customHeight="1" x14ac:dyDescent="0.25">
      <c r="B17" s="6"/>
      <c r="C17" s="30"/>
      <c r="D17" s="30"/>
      <c r="E17" s="30"/>
      <c r="F17" s="30"/>
      <c r="G17" s="30"/>
      <c r="H17" s="47"/>
      <c r="I17" s="12"/>
      <c r="J17" s="12"/>
      <c r="K17" s="12"/>
      <c r="L17" s="12"/>
      <c r="M17" s="12"/>
      <c r="N17" s="12"/>
      <c r="O17" s="13"/>
      <c r="P17" s="10"/>
      <c r="Q17" s="12"/>
      <c r="R17" s="12"/>
      <c r="S17" s="12"/>
      <c r="T17" s="12"/>
      <c r="U17" s="12"/>
      <c r="V17" s="12"/>
    </row>
    <row r="18" spans="2:24" ht="35.1" customHeight="1" x14ac:dyDescent="0.25">
      <c r="B18" s="23" t="s">
        <v>159</v>
      </c>
      <c r="C18" s="83" t="s">
        <v>54</v>
      </c>
      <c r="D18" s="83"/>
      <c r="E18" s="83"/>
      <c r="F18" s="82" t="s">
        <v>56</v>
      </c>
      <c r="G18" s="76"/>
      <c r="H18" s="77"/>
      <c r="I18" s="77"/>
      <c r="J18" s="77"/>
      <c r="K18" s="75" t="s">
        <v>57</v>
      </c>
      <c r="L18" s="82"/>
      <c r="M18" s="76"/>
      <c r="N18" s="77"/>
      <c r="O18" s="77"/>
      <c r="P18" s="10"/>
      <c r="Q18" s="12"/>
      <c r="R18" s="12"/>
      <c r="S18" s="12"/>
      <c r="T18" s="12"/>
      <c r="U18" s="12"/>
      <c r="V18" s="12"/>
    </row>
    <row r="19" spans="2:24" ht="3" customHeight="1" x14ac:dyDescent="0.25">
      <c r="B19" s="6"/>
      <c r="C19" s="33"/>
      <c r="D19" s="33"/>
      <c r="E19" s="33"/>
      <c r="F19" s="33"/>
      <c r="G19" s="33"/>
      <c r="H19" s="33"/>
      <c r="I19" s="12"/>
      <c r="J19" s="12"/>
      <c r="K19" s="12"/>
      <c r="L19" s="12"/>
      <c r="M19" s="12"/>
      <c r="N19" s="12"/>
      <c r="O19" s="13"/>
      <c r="P19" s="10"/>
      <c r="Q19" s="12"/>
      <c r="R19" s="12"/>
      <c r="S19" s="12"/>
      <c r="T19" s="12"/>
      <c r="U19" s="12"/>
      <c r="V19" s="12"/>
    </row>
    <row r="20" spans="2:24" ht="35.1" customHeight="1" x14ac:dyDescent="0.25">
      <c r="B20" s="26" t="s">
        <v>136</v>
      </c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10"/>
      <c r="Q20" s="12"/>
      <c r="R20" s="12"/>
      <c r="S20" s="12"/>
      <c r="T20" s="12"/>
      <c r="U20" s="12"/>
      <c r="V20" s="12"/>
    </row>
    <row r="21" spans="2:24" ht="3" customHeight="1" x14ac:dyDescent="0.25">
      <c r="B21" s="6"/>
      <c r="C21" s="33"/>
      <c r="D21" s="33"/>
      <c r="E21" s="33"/>
      <c r="F21" s="33"/>
      <c r="G21" s="33"/>
      <c r="H21" s="33"/>
      <c r="I21" s="12"/>
      <c r="J21" s="12"/>
      <c r="K21" s="12"/>
      <c r="L21" s="12"/>
      <c r="M21" s="12"/>
      <c r="N21" s="12"/>
      <c r="O21" s="13"/>
      <c r="P21" s="12"/>
      <c r="Q21" s="12"/>
      <c r="R21" s="12"/>
      <c r="S21" s="12"/>
      <c r="T21" s="12"/>
      <c r="U21" s="12"/>
      <c r="V21" s="12"/>
    </row>
    <row r="22" spans="2:24" ht="90.75" customHeight="1" x14ac:dyDescent="0.25">
      <c r="B22" s="23" t="s">
        <v>183</v>
      </c>
      <c r="C22" s="108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10"/>
      <c r="P22" s="34"/>
      <c r="Q22" s="34"/>
      <c r="R22" s="34"/>
      <c r="S22" s="34"/>
      <c r="T22" s="34"/>
      <c r="U22" s="35"/>
      <c r="V22" s="35"/>
    </row>
    <row r="23" spans="2:24" ht="3" customHeight="1" x14ac:dyDescent="0.25">
      <c r="B23" s="24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35"/>
      <c r="Q23" s="35"/>
      <c r="R23" s="35"/>
      <c r="S23" s="35"/>
      <c r="T23" s="35"/>
      <c r="V23" s="35"/>
    </row>
    <row r="24" spans="2:24" ht="90" customHeight="1" x14ac:dyDescent="0.25">
      <c r="B24" s="46" t="s">
        <v>182</v>
      </c>
      <c r="C24" s="78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0"/>
      <c r="P24" s="17"/>
      <c r="Q24" s="17"/>
      <c r="R24" s="17"/>
      <c r="S24" s="17"/>
      <c r="T24" s="17"/>
    </row>
    <row r="25" spans="2:24" x14ac:dyDescent="0.25">
      <c r="B25" s="3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8"/>
      <c r="P25" s="17"/>
      <c r="Q25" s="17"/>
      <c r="R25" s="17"/>
      <c r="S25" s="17"/>
      <c r="T25" s="17"/>
    </row>
    <row r="26" spans="2:24" s="16" customFormat="1" ht="75" customHeight="1" x14ac:dyDescent="0.3">
      <c r="B26" s="26" t="s">
        <v>185</v>
      </c>
      <c r="C26" s="69"/>
      <c r="D26" s="69"/>
      <c r="E26" s="75" t="s">
        <v>189</v>
      </c>
      <c r="F26" s="82"/>
      <c r="G26" s="77"/>
      <c r="H26" s="77"/>
      <c r="I26" s="45" t="s">
        <v>188</v>
      </c>
      <c r="J26" s="107"/>
      <c r="K26" s="107"/>
      <c r="L26" s="75" t="s">
        <v>219</v>
      </c>
      <c r="M26" s="82"/>
      <c r="N26" s="76"/>
      <c r="O26" s="32"/>
      <c r="P26" s="17"/>
      <c r="Q26" s="17"/>
      <c r="R26" s="17"/>
      <c r="S26" s="17"/>
      <c r="T26" s="17"/>
      <c r="W26" s="18"/>
      <c r="X26" s="18"/>
    </row>
    <row r="27" spans="2:24" ht="6" customHeight="1" x14ac:dyDescent="0.25">
      <c r="B27" s="63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64"/>
      <c r="P27" s="29"/>
      <c r="Q27" s="29"/>
      <c r="R27" s="29"/>
      <c r="S27" s="29"/>
      <c r="T27" s="29"/>
    </row>
    <row r="28" spans="2:24" ht="19.2" customHeight="1" x14ac:dyDescent="0.25">
      <c r="B28" s="105" t="s">
        <v>216</v>
      </c>
      <c r="C28" s="106"/>
      <c r="D28" s="106"/>
      <c r="E28" s="106"/>
      <c r="F28" s="106"/>
      <c r="G28" s="106"/>
      <c r="H28" s="106"/>
      <c r="I28" s="102" t="s">
        <v>217</v>
      </c>
      <c r="J28" s="103"/>
      <c r="K28" s="103"/>
      <c r="L28" s="103"/>
      <c r="M28" s="103"/>
      <c r="N28" s="103"/>
      <c r="O28" s="104"/>
      <c r="P28" s="29"/>
      <c r="Q28" s="29"/>
      <c r="R28" s="29"/>
      <c r="S28" s="29"/>
      <c r="T28" s="29"/>
    </row>
    <row r="29" spans="2:24" ht="193.5" customHeight="1" x14ac:dyDescent="0.25">
      <c r="B29" s="66"/>
      <c r="C29" s="67"/>
      <c r="D29" s="67"/>
      <c r="E29" s="67"/>
      <c r="F29" s="67"/>
      <c r="G29" s="67"/>
      <c r="H29" s="67"/>
      <c r="I29" s="66"/>
      <c r="J29" s="67"/>
      <c r="K29" s="67"/>
      <c r="L29" s="67"/>
      <c r="M29" s="67"/>
      <c r="N29" s="67"/>
      <c r="O29" s="68"/>
    </row>
  </sheetData>
  <mergeCells count="38">
    <mergeCell ref="I28:O28"/>
    <mergeCell ref="B28:H28"/>
    <mergeCell ref="G26:H26"/>
    <mergeCell ref="K18:M18"/>
    <mergeCell ref="H18:J18"/>
    <mergeCell ref="J26:K26"/>
    <mergeCell ref="C22:O22"/>
    <mergeCell ref="C2:N2"/>
    <mergeCell ref="B6:O6"/>
    <mergeCell ref="B12:O12"/>
    <mergeCell ref="C10:H10"/>
    <mergeCell ref="B2:B4"/>
    <mergeCell ref="O2:O4"/>
    <mergeCell ref="L9:O9"/>
    <mergeCell ref="H4:I4"/>
    <mergeCell ref="J4:K4"/>
    <mergeCell ref="K3:N3"/>
    <mergeCell ref="L4:N4"/>
    <mergeCell ref="J8:O8"/>
    <mergeCell ref="C8:H8"/>
    <mergeCell ref="E3:F3"/>
    <mergeCell ref="C3:D3"/>
    <mergeCell ref="B29:H29"/>
    <mergeCell ref="I29:O29"/>
    <mergeCell ref="J10:O10"/>
    <mergeCell ref="J14:O14"/>
    <mergeCell ref="J16:K16"/>
    <mergeCell ref="H14:I14"/>
    <mergeCell ref="C14:G14"/>
    <mergeCell ref="C16:G16"/>
    <mergeCell ref="C24:O24"/>
    <mergeCell ref="C20:O20"/>
    <mergeCell ref="N18:O18"/>
    <mergeCell ref="F18:G18"/>
    <mergeCell ref="C18:E18"/>
    <mergeCell ref="C26:D26"/>
    <mergeCell ref="E26:F26"/>
    <mergeCell ref="L26:N26"/>
  </mergeCells>
  <phoneticPr fontId="1" type="noConversion"/>
  <conditionalFormatting sqref="N18">
    <cfRule type="cellIs" dxfId="5" priority="1" operator="equal">
      <formula>"No Aceptable"</formula>
    </cfRule>
    <cfRule type="cellIs" dxfId="4" priority="2" operator="equal">
      <formula>"Alto"</formula>
    </cfRule>
    <cfRule type="cellIs" dxfId="3" priority="3" operator="equal">
      <formula>"Alerta"</formula>
    </cfRule>
    <cfRule type="cellIs" dxfId="2" priority="4" operator="equal">
      <formula>"Medio"</formula>
    </cfRule>
    <cfRule type="cellIs" dxfId="1" priority="5" operator="equal">
      <formula>"Tolerable"</formula>
    </cfRule>
    <cfRule type="cellIs" dxfId="0" priority="6" operator="equal">
      <formula>"Bajo"</formula>
    </cfRule>
  </conditionalFormatting>
  <printOptions horizontalCentered="1"/>
  <pageMargins left="0" right="0" top="0.31496062992125984" bottom="0.31496062992125984" header="0.19685039370078741" footer="0.19685039370078741"/>
  <pageSetup paperSize="9" scale="64" fitToHeight="0" orientation="portrait" r:id="rId1"/>
  <headerFooter>
    <oddFooter>&amp;R&amp;"Arial,Normal"&amp;10Página &amp;P de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100-000000000000}">
          <x14:formula1>
            <xm:f>DATOS!$B$2:$C$2</xm:f>
          </x14:formula1>
          <xm:sqref>C18</xm:sqref>
        </x14:dataValidation>
        <x14:dataValidation type="list" allowBlank="1" showInputMessage="1" showErrorMessage="1" xr:uid="{00000000-0002-0000-0100-000001000000}">
          <x14:formula1>
            <xm:f>DATOS!$B$8:$G$8</xm:f>
          </x14:formula1>
          <xm:sqref>N18</xm:sqref>
        </x14:dataValidation>
        <x14:dataValidation type="list" allowBlank="1" showInputMessage="1" showErrorMessage="1" xr:uid="{00000000-0002-0000-0100-000002000000}">
          <x14:formula1>
            <xm:f>DATOS!$B$10:$C$10</xm:f>
          </x14:formula1>
          <xm:sqref>H18</xm:sqref>
        </x14:dataValidation>
        <x14:dataValidation type="list" allowBlank="1" showInputMessage="1" showErrorMessage="1" xr:uid="{00000000-0002-0000-0100-000003000000}">
          <x14:formula1>
            <xm:f>DATOS!$A$5:$CA$5</xm:f>
          </x14:formula1>
          <xm:sqref>C20</xm:sqref>
        </x14:dataValidation>
        <x14:dataValidation type="list" allowBlank="1" showInputMessage="1" showErrorMessage="1" xr:uid="{00000000-0002-0000-0100-000004000000}">
          <x14:formula1>
            <xm:f>DATOS!$B$6:$C$6</xm:f>
          </x14:formula1>
          <xm:sqref>C26</xm:sqref>
        </x14:dataValidation>
        <x14:dataValidation type="list" allowBlank="1" showInputMessage="1" showErrorMessage="1" xr:uid="{00000000-0002-0000-0100-000005000000}">
          <x14:formula1>
            <xm:f>DATOS!$A$13:$A$71</xm:f>
          </x14:formula1>
          <xm:sqref>C10:H10 C14:G14</xm:sqref>
        </x14:dataValidation>
        <x14:dataValidation type="list" allowBlank="1" showInputMessage="1" showErrorMessage="1" xr:uid="{00000000-0002-0000-0100-000006000000}">
          <x14:formula1>
            <xm:f>DATOS!$J$12:$J$34</xm:f>
          </x14:formula1>
          <xm:sqref>O26</xm:sqref>
        </x14:dataValidation>
        <x14:dataValidation type="list" allowBlank="1" showInputMessage="1" showErrorMessage="1" xr:uid="{00000000-0002-0000-0100-000007000000}">
          <x14:formula1>
            <xm:f>DATOS!$D$13:$D$31</xm:f>
          </x14:formula1>
          <xm:sqref>J8:O8 J14:O14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2204A4D9AA9D4B89FB124A5E810074" ma:contentTypeVersion="8" ma:contentTypeDescription="Crear nuevo documento." ma:contentTypeScope="" ma:versionID="a4c1a5ad0b74351a028e8ba01a85c73c">
  <xsd:schema xmlns:xsd="http://www.w3.org/2001/XMLSchema" xmlns:xs="http://www.w3.org/2001/XMLSchema" xmlns:p="http://schemas.microsoft.com/office/2006/metadata/properties" xmlns:ns3="9a58ed00-9ae4-408a-9b66-a7a3cce136c9" targetNamespace="http://schemas.microsoft.com/office/2006/metadata/properties" ma:root="true" ma:fieldsID="0d43c789313f3b9181b834a1eef85254" ns3:_="">
    <xsd:import namespace="9a58ed00-9ae4-408a-9b66-a7a3cce136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58ed00-9ae4-408a-9b66-a7a3cce13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DDF790-8156-4C51-ADE1-DC13F76A4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58ed00-9ae4-408a-9b66-a7a3cce13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FA3930-3095-4FF9-8895-453730C955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220D49-5B29-45C2-B463-68D573B6E6F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DATOS</vt:lpstr>
      <vt:lpstr>RAC</vt:lpstr>
      <vt:lpstr>RAC!Área_de_impresión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Gabriel Mego Armas</dc:creator>
  <cp:lastModifiedBy>Kevin Oré Huamán</cp:lastModifiedBy>
  <cp:lastPrinted>2019-12-22T21:46:38Z</cp:lastPrinted>
  <dcterms:created xsi:type="dcterms:W3CDTF">2019-09-04T15:30:38Z</dcterms:created>
  <dcterms:modified xsi:type="dcterms:W3CDTF">2020-02-04T19:34:45Z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e938f87f-94cf-4191-9f06-323260eedc09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0x010100AA2204A4D9AA9D4B89FB124A5E810074</vt:lpwstr>
  </property>
</Properties>
</file>