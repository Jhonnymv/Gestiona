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lectrodata\Marcobre\Gestiona Marcobre\Marcobre-GestionAmbiental\GestionAmbiental\wwwroot\ExcelTemplates\Inspecciones\"/>
    </mc:Choice>
  </mc:AlternateContent>
  <xr:revisionPtr revIDLastSave="0" documentId="13_ncr:1_{8E2576EC-B162-44FF-B18B-5E0520D1C8DE}" xr6:coauthVersionLast="47" xr6:coauthVersionMax="47" xr10:uidLastSave="{00000000-0000-0000-0000-000000000000}"/>
  <bookViews>
    <workbookView xWindow="-120" yWindow="-120" windowWidth="38640" windowHeight="21120" tabRatio="813" firstSheet="1" activeTab="1" xr2:uid="{00000000-000D-0000-FFFF-FFFF00000000}"/>
  </bookViews>
  <sheets>
    <sheet name="Datos" sheetId="2" state="hidden" r:id="rId1"/>
    <sheet name="Inspección" sheetId="1" r:id="rId2"/>
    <sheet name="Tablas" sheetId="3" r:id="rId3"/>
    <sheet name="Nivel Riesgo MA" sheetId="8" r:id="rId4"/>
    <sheet name="Check list Insp.Amb." sheetId="6" r:id="rId5"/>
    <sheet name="Nivel Riesgo SSO" sheetId="9" r:id="rId6"/>
  </sheets>
  <externalReferences>
    <externalReference r:id="rId7"/>
  </externalReferences>
  <definedNames>
    <definedName name="LISTAFINAL">[1]Padrón!#REF!</definedName>
    <definedName name="_xlnm.Print_Area" localSheetId="3">'Nivel Riesgo MA'!$A$1:$D$39</definedName>
    <definedName name="_xlnm.Print_Area" localSheetId="5">'Nivel Riesgo SSO'!$A$1:$K$21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2" l="1"/>
  <c r="BH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G5" i="2"/>
  <c r="F5" i="2"/>
  <c r="E5" i="2"/>
  <c r="D5" i="2"/>
  <c r="C5" i="2"/>
  <c r="B5" i="2"/>
</calcChain>
</file>

<file path=xl/sharedStrings.xml><?xml version="1.0" encoding="utf-8"?>
<sst xmlns="http://schemas.openxmlformats.org/spreadsheetml/2006/main" count="378" uniqueCount="293">
  <si>
    <t>INSPECCIÓN</t>
  </si>
  <si>
    <t>Nro</t>
  </si>
  <si>
    <t>Nivel de Riesgo</t>
  </si>
  <si>
    <t>Fecha Programada</t>
  </si>
  <si>
    <t>Fecha de emisión:</t>
  </si>
  <si>
    <t>Versión:</t>
  </si>
  <si>
    <t>Fecha de elaboración:</t>
  </si>
  <si>
    <t xml:space="preserve">Área:  </t>
  </si>
  <si>
    <t>SSO/MA</t>
  </si>
  <si>
    <t>Acto/Condición subestándar identificada</t>
  </si>
  <si>
    <t>Fotografía de la condición subestándar</t>
  </si>
  <si>
    <t>Responsable del Levantamiento del Acto/Condición Subestándar</t>
  </si>
  <si>
    <t>Levantamiento de la Observación</t>
  </si>
  <si>
    <t>Responsable del área inspeccionada:</t>
  </si>
  <si>
    <t>Participantes de la inspección:</t>
  </si>
  <si>
    <t>DATOS DEL TITULAR MINERO</t>
  </si>
  <si>
    <t>Razón Social:</t>
  </si>
  <si>
    <t>Marcobre S.A.C.</t>
  </si>
  <si>
    <t>RUC:</t>
  </si>
  <si>
    <t>Domicilio legal:</t>
  </si>
  <si>
    <t>Calle Lorenzo Bernini 149, piso 3 - San Borja.</t>
  </si>
  <si>
    <t>Actividad:</t>
  </si>
  <si>
    <t>DATOS DE LA INSPECCIÓN</t>
  </si>
  <si>
    <t>Tipo de inspección:</t>
  </si>
  <si>
    <t>Hora:</t>
  </si>
  <si>
    <t>Fecha:</t>
  </si>
  <si>
    <t>Registro N°:</t>
  </si>
  <si>
    <t xml:space="preserve">Objetivo de la inspección: </t>
  </si>
  <si>
    <t>Tipo de Condición/Acto Subestándar</t>
  </si>
  <si>
    <t>DESARROLLO DE LA INSPECCIÓN</t>
  </si>
  <si>
    <t>Fecha de cierre</t>
  </si>
  <si>
    <t>Código:</t>
  </si>
  <si>
    <t>Tipo de inspección</t>
  </si>
  <si>
    <t>Otros</t>
  </si>
  <si>
    <t>Planificada</t>
  </si>
  <si>
    <t>SSO</t>
  </si>
  <si>
    <t>MA</t>
  </si>
  <si>
    <t>Acto/Condición de:</t>
  </si>
  <si>
    <t>Nivel de riesgo</t>
  </si>
  <si>
    <t>MAA01. Afectar a la flora/fauna/sitios arqueológicos.</t>
  </si>
  <si>
    <t>MAA02. Descargar aguas no autorizadas.</t>
  </si>
  <si>
    <t>MAA03. Generar material particulado (polvo).</t>
  </si>
  <si>
    <t>MAA04. Generar ruido ambiental molesto.</t>
  </si>
  <si>
    <t>MAA05. Quemar de residuos.</t>
  </si>
  <si>
    <t>MAA06. Realizar movimiento de tierras no autorizadas.</t>
  </si>
  <si>
    <t>MAA07. Realizar trabajos sin evaluación ambiental.</t>
  </si>
  <si>
    <t>MAA08. Realizar trabajos sin o con controles ambientales deficientes.</t>
  </si>
  <si>
    <t>MAA09. Regar vías con aguas fuera de los LMP.</t>
  </si>
  <si>
    <t>MAA10. Segregar incorrectamente los residuos.</t>
  </si>
  <si>
    <t>MAA11. Transitar por vías no autorizadas.</t>
  </si>
  <si>
    <t>MAA12. Usar áeras no autorizadas.</t>
  </si>
  <si>
    <t>MAA13. Usar materiales, herramientas defectuosos.</t>
  </si>
  <si>
    <t>MAA14. Usar productos químicos no evaluados.</t>
  </si>
  <si>
    <t>MAA15. Usar vehículos o equipos sin o con kit antiderrame inadecuado.</t>
  </si>
  <si>
    <t>MAA16. Otros actos ambientales subestándares.</t>
  </si>
  <si>
    <t>MAC01. Acumulación de residuos en áeras no autorizadas.</t>
  </si>
  <si>
    <t>MAC02. Almacenamiento Inadecuado de Materiales o Productos.</t>
  </si>
  <si>
    <t>MAC03. Ausencia de MSDS.</t>
  </si>
  <si>
    <t>MAC04. Ausencia o mal estado de controles ambientales.</t>
  </si>
  <si>
    <t>MAC05. Ausencia/inadecuado sistema de contención (Picado, rajado, falta capacidad, etc).</t>
  </si>
  <si>
    <t>MAC06. Cilindros o contenedores de residuos complemente llenos.</t>
  </si>
  <si>
    <t>MAC07. Cilindros o contenedores de residuos fuera de estándar.</t>
  </si>
  <si>
    <t>MAC08. Déficit de cilindros para almacenar residuos.</t>
  </si>
  <si>
    <t>MAC09. Emanación de olores desagradables.</t>
  </si>
  <si>
    <t>MAC10. Equipo sin mantenimiento preventivo.</t>
  </si>
  <si>
    <t>MAC12. Falta o fuera de estándar del kit antiderrame.</t>
  </si>
  <si>
    <t>MAC11. Falta de orden y limpieza en el áera de trabajo.</t>
  </si>
  <si>
    <t>MAC13. Mangueras/Tuberías en mal estado.</t>
  </si>
  <si>
    <t>MAC14. Presencia de animales muertos.</t>
  </si>
  <si>
    <t>MAC15. Presencia de derrames en el área de trabajo.</t>
  </si>
  <si>
    <t>MAC16. Presencia de material particulado (polvo).</t>
  </si>
  <si>
    <t>MAC17. Presencia de ruido ambiental molesto.</t>
  </si>
  <si>
    <t>MAC18. Punto de acopio de residuos sólidos fuera de estándar.</t>
  </si>
  <si>
    <t>MAC19. Recipientes con riesgo de desborde.</t>
  </si>
  <si>
    <t>MAC20. Residuos mal segregados.</t>
  </si>
  <si>
    <t>MAC21. Otras condiciones ambientales subestánadares.</t>
  </si>
  <si>
    <t>SOA01. Operar equipo sin autorización.</t>
  </si>
  <si>
    <t>SOA02. Operar equipo a velocidad incorrecta.</t>
  </si>
  <si>
    <t>SOA03. Señalizar/avisar incorrectamente - No señalizar/avisar.</t>
  </si>
  <si>
    <t>SOA04. No Advertir.</t>
  </si>
  <si>
    <t>SOA05. Asegurar/bloquear incorrectamente - No asegurar/bloquear.</t>
  </si>
  <si>
    <t>SOA06. Desactivar dispositivos de seguridad.</t>
  </si>
  <si>
    <t>SOA07. Usar equipos defectuosos.</t>
  </si>
  <si>
    <t>SOA08. Usar incorrectamente EPP - No usar EPP.</t>
  </si>
  <si>
    <t>SOA09. Instalar carga de manera incorrecta.</t>
  </si>
  <si>
    <t>SOA10. Adoptar una ubicación incorrecta.</t>
  </si>
  <si>
    <t>SOA11. Levantar objetos/material incorrectamente.</t>
  </si>
  <si>
    <t>SOA12. Adoptar una posición incorrecta para la tarea.</t>
  </si>
  <si>
    <t>SOA13. Dar mantenimiento a equipo en operación.</t>
  </si>
  <si>
    <t>SOA14. Bromear/Juguetear bruscamente.</t>
  </si>
  <si>
    <t>SOA15. Usar equipo incorrectamente.</t>
  </si>
  <si>
    <t>SOA16. Trabajar bajo la influencia de alcohol y/o drogas.</t>
  </si>
  <si>
    <t>SOA17. Maniobrar incorrectamente.</t>
  </si>
  <si>
    <t>SOA18. Realizar otro acto no clasificado.</t>
  </si>
  <si>
    <t>SOC05. Herramientas, equipos o materiales defectuosos.</t>
  </si>
  <si>
    <t>SOC18. Peligros biológicos.</t>
  </si>
  <si>
    <t>SOC17. Ventilación inadecuada.</t>
  </si>
  <si>
    <t>SOC16. Iluminación deficiente o excesiva.</t>
  </si>
  <si>
    <t>SOC15. Peligros ergonómicos.</t>
  </si>
  <si>
    <t>SOC14. Temperaturas extremas.</t>
  </si>
  <si>
    <t>SOC13. Presencia de Radiación.</t>
  </si>
  <si>
    <t>SOC12. Presencia de Ruido.</t>
  </si>
  <si>
    <t>SOC11. Presencia de químicos (polvo, humos, vapor, gas, solventes, etc).</t>
  </si>
  <si>
    <t>SOC10. Orden y Limpieza deficiente.</t>
  </si>
  <si>
    <t>SOC09. Sistema de aseguramiento/bloqueo inadecuado.</t>
  </si>
  <si>
    <t>SOC08. Peligros de Incendio/Explosión.</t>
  </si>
  <si>
    <t>SOC07. Sistema de Advertencia/Aviso Inadecuado.</t>
  </si>
  <si>
    <t>SOC06. Congestión o Acción Restringida.</t>
  </si>
  <si>
    <t>SOC04. Equipo de protección personal inadecuado.</t>
  </si>
  <si>
    <t>SOC03. Caminos, pisos, superficies, inadecuados.</t>
  </si>
  <si>
    <t>SOC02. Paredes, tejados, pisos, etc. Inestables.</t>
  </si>
  <si>
    <t>SOC01. Guardas, muros de seguridad Inadecuados/No existentes.</t>
  </si>
  <si>
    <t>TIPOS DE ACTOS SUBESTÁNDARES (MA)</t>
  </si>
  <si>
    <t>TIPOS DE CONDICIONES SUBESTÁNDARES (MA)</t>
  </si>
  <si>
    <t>MEDIO AMBIENTE</t>
  </si>
  <si>
    <t>SEGURIDAD Y SALUD OCUPACIONAL</t>
  </si>
  <si>
    <t>TIPOS DE ACTOS SUBESTÁNDARES (SSO)</t>
  </si>
  <si>
    <t>TIPOS DE CONDICIONES SUBESTÁNDARES (SSO)</t>
  </si>
  <si>
    <t>************************************</t>
  </si>
  <si>
    <t>ALTA</t>
  </si>
  <si>
    <t>MEDIA</t>
  </si>
  <si>
    <t>BAJA</t>
  </si>
  <si>
    <t>CHECK LIST DE INSPECCIÓN AMBIENTAL</t>
  </si>
  <si>
    <t>INFORMACIÓN AMBIENTAL</t>
  </si>
  <si>
    <t>Estan disponible y se hace uso de la versión actualizada del PMA.</t>
  </si>
  <si>
    <t>Lista de Hojas de Seguridad (MSDS).</t>
  </si>
  <si>
    <t>Politica Ambiental Publicada.</t>
  </si>
  <si>
    <t>Trabajadores Familiarizados con la Politica de Medio Ambiente y Controles Ambientales.</t>
  </si>
  <si>
    <t>MANEJO DE RESIDUOS SOLIDOS</t>
  </si>
  <si>
    <t>Cuentan con Estación de RR.SS.</t>
  </si>
  <si>
    <t>Cantidad suficiente de cilindros para residuos.</t>
  </si>
  <si>
    <t>Los residuos se encuentran dentro de los cilindros o excediento cantidad de estos.</t>
  </si>
  <si>
    <t>Se realiza correcta segregación de residuos según el codigo de colores.</t>
  </si>
  <si>
    <t>Los cilindos para los residuos se encuentran rotulados.</t>
  </si>
  <si>
    <t xml:space="preserve">Los cilindros para residuos se encuentran con tapa. </t>
  </si>
  <si>
    <t>El punto de acopio se encuentra ordenado y limpio.</t>
  </si>
  <si>
    <t>Personal cuenta con capacitación sobre una adecuada segregación .</t>
  </si>
  <si>
    <t>ESTACIÓN DE EMERGENCIA</t>
  </si>
  <si>
    <t>Cuenta con Kit  Antiderrame.</t>
  </si>
  <si>
    <t>Flujo Grama de Emergencia.</t>
  </si>
  <si>
    <t>Check List de Kit antiderrame.</t>
  </si>
  <si>
    <t>Lavaojos.</t>
  </si>
  <si>
    <t>Check List de Lavaojos.</t>
  </si>
  <si>
    <t>ORDEN Y LIMPIEZA</t>
  </si>
  <si>
    <t>Las áreas inspeccionadas estan limpias y ordenadas.</t>
  </si>
  <si>
    <t xml:space="preserve">Equipos y Mauquinaria cuentan con bandeja antiderrame. </t>
  </si>
  <si>
    <t>Zonas de almacenamiento estan rotulados y señalizado.</t>
  </si>
  <si>
    <t>Estanque  para Agua Potable Rotulado y anclado.</t>
  </si>
  <si>
    <t>Hay materiales y equipos fuera de su almacén.</t>
  </si>
  <si>
    <t>Depositos de Agua identificado como Potable y No potable.</t>
  </si>
  <si>
    <t xml:space="preserve"> QUÍMICOS</t>
  </si>
  <si>
    <t>El personal conoce el uso del kit antiderrame.</t>
  </si>
  <si>
    <t>Los químicos utilizados en campo cuentan con bandeja antiderrame, estan rotulados y tienen la hoja MSDS.</t>
  </si>
  <si>
    <t>Estan disponibles y actualizados los procedimientos e intructivos, para el uso de productos químicos.</t>
  </si>
  <si>
    <t>El almacén de sustancias Químicas, se encuentra rotulado, con kit antiderrame, bandejas de contención y las hojas MSDS.</t>
  </si>
  <si>
    <t>Los envases de Productos Químicos estan rotulados.</t>
  </si>
  <si>
    <t>Se evidencia Personal Capacitado para manejar el Almacén de Productos Químicos.</t>
  </si>
  <si>
    <t xml:space="preserve">EQUIPOS Y MAQUINARIAS </t>
  </si>
  <si>
    <t>Cuenta con kit antiderrame y Bandeja Antiderrame.</t>
  </si>
  <si>
    <t>Los Vehiculos Menores y Pesados, cuentan con kit antiderrame y bandejas de contención.</t>
  </si>
  <si>
    <t>Los tanques de combustible cuentan con el rombo NFPA.</t>
  </si>
  <si>
    <t>Check list diario del equipo.</t>
  </si>
  <si>
    <t xml:space="preserve">Cuenta con Ficha tecnica de mantenimiento. </t>
  </si>
  <si>
    <t>El personal de los Equipos y Maquinaria tiene las Hojas MSDS de los productos químicos.</t>
  </si>
  <si>
    <t>RESTOS DE CONCRETO, DESMONTE y ALMACÉN TEMPORAL</t>
  </si>
  <si>
    <t>Los restos de concreto son almacenados encima de materiales impermeables.</t>
  </si>
  <si>
    <t>Los desmontes de tierra y concreto estan delimitados e identificados con señaleticas.</t>
  </si>
  <si>
    <t>Disposición de concreto adecuada.</t>
  </si>
  <si>
    <t>Los Mixer cuentan con protección de geomebrana al momento de vaciar.</t>
  </si>
  <si>
    <t>No presentan escurrimientos.</t>
  </si>
  <si>
    <t>Almacén Temporal señalizado y identificado con señaletica según caracteristicas.</t>
  </si>
  <si>
    <t>PERMISOS AMBIENTALES</t>
  </si>
  <si>
    <t>FOCAM aprobado</t>
  </si>
  <si>
    <t>El potencial Impacto Negativo es de Magnitud Alta debido a: 
- Es duraredero y/o irreversible (&gt; 5 años)
- Potencial Daño ocasionado por: MAPTEL con características de Explosividad, inflamabilidad o Corrosivos
- Puede exceder el ára de trabajo de la operación.</t>
  </si>
  <si>
    <t>El potencial Impacto Negativo es de Magnitud Baja debido a:
- Es reversible en el corto plazo (&lt;1 año).
- Ocurre y se limita al área de trabajo.
- El impacto ambiental es puntual y no continuo.</t>
  </si>
  <si>
    <t>Muy Probable</t>
  </si>
  <si>
    <t>Probable</t>
  </si>
  <si>
    <t>Poco Probable</t>
  </si>
  <si>
    <t>- El potencial daño ambiental o La condición ambiental subestándar se estima que puede suceder dentro del año.
- Cuando existen controles y son efectivos</t>
  </si>
  <si>
    <t>Nivel del Aspecto</t>
  </si>
  <si>
    <t>Valoración</t>
  </si>
  <si>
    <t>Significancia</t>
  </si>
  <si>
    <t>Controles Operacionales</t>
  </si>
  <si>
    <t>TOLERABLE</t>
  </si>
  <si>
    <t>No Significativo (NS)</t>
  </si>
  <si>
    <t>Verificar el cumplimineto de los controles establecidos en su matriz de Aspectos e Impactos Ambientales.
No se requiere la implementación de controles adicionales.</t>
  </si>
  <si>
    <t>ALERTA</t>
  </si>
  <si>
    <t>2,3,4</t>
  </si>
  <si>
    <t>Verificar el cumplimineto de los controles establecidos en su matriz de Aspectos e Impactos Ambientales.
Evaluar la implementación de controles adicionales si el impacto ambiental negativo puede repetirse.</t>
  </si>
  <si>
    <t>NO ACEPTABLE</t>
  </si>
  <si>
    <t>6,9</t>
  </si>
  <si>
    <t>Significativo (S)</t>
  </si>
  <si>
    <t>Verificar el cumplimineto de los controles establecidos en su matriz de Aspectos e Impactos Ambientales.
Se debe elaborar un procedimiento/instructivo para prevenir, controlar y/o mitigar el impacto ambiental significativo.
Los controles ha implementarse deben estar orientados a controles opercionales de ingeniería.</t>
  </si>
  <si>
    <t>TABLA DE SEVERIDAD AMBIENTAL</t>
  </si>
  <si>
    <t>Calificación</t>
  </si>
  <si>
    <t>Valor</t>
  </si>
  <si>
    <t>Peligrosidad al medio ambiente</t>
  </si>
  <si>
    <t>Cumplimiento legal y reputación de la empresa</t>
  </si>
  <si>
    <t>- La organización recibe quejas y  reclamos (verbales, escritas o manifestaciones) a raíz del impacto generado por la condición/acto ambiental subestándar identificado.
- Hay afectación de la reputación de la empresa en medio de comunicación nacionales e indagación de medios de comunicación internacionales.
- Hay incumplimiento de la legislación ambiental y/o compromisos asumidos por la empresa.</t>
  </si>
  <si>
    <t>El potencial Impacto Negativo es de Magnitud Media debido a:
- Es reversible en el mediano plazo (1 y 5 años)
- Afecta a otras áreas de trabajo
- No excede el área de trabajo de la operación.</t>
  </si>
  <si>
    <t>- La organización recibe quejas y  reclamos (verbales o escritas) a raíz del impacto generado por la condición/acto ambiental subestándar identificado.
- Hay afectación de la reputación de la empresa en medio de comunicación de comunicación locales e indagación de medios de comunicación nacionales.</t>
  </si>
  <si>
    <t>- La organización no recibe quejas a raíz del impacto generado por la condición/acto ambiental subestándar identificado.
- No hay afectación a la reputación de la empresa en medios de comnicación locales, nacionales ni extranjeros.</t>
  </si>
  <si>
    <t>TABLA DE PROBABILIDAD AMBIENTAL</t>
  </si>
  <si>
    <t>Probabilidad de ocurrencia</t>
  </si>
  <si>
    <t>Descripción</t>
  </si>
  <si>
    <t>- El potencial daño o la condición ambiental subestándar se estima que puede suceder dentro de la semana.
- Cuando no existen controles o no están implementados.</t>
  </si>
  <si>
    <t>- El potencial daño ambiental o la condición ambiental subestándar se estima que puede suceder dentro del mes.
- Cuándo existen controles pero no son efectivos.</t>
  </si>
  <si>
    <t>MATRIZ DE RIESGO AMBIENTAL Y SU VALORACIÓN</t>
  </si>
  <si>
    <t>00</t>
  </si>
  <si>
    <t>MATRIZ DE EVALUACIÓN DE RIESGOS</t>
  </si>
  <si>
    <t>Empresa (Inspeccionada):</t>
  </si>
  <si>
    <t>No Planeada</t>
  </si>
  <si>
    <t>Gerencia</t>
  </si>
  <si>
    <t>ABENGOA</t>
  </si>
  <si>
    <t>CONTROL DE PROYECTOS</t>
  </si>
  <si>
    <t>ANGELES</t>
  </si>
  <si>
    <t>GERENCIA DE ADMINISTRACION Y FINANZAS</t>
  </si>
  <si>
    <t>APC</t>
  </si>
  <si>
    <t>GERENCIA DE ADQUISICIONES Y CONTRATOS</t>
  </si>
  <si>
    <t>ARCE GEOFÍSICOS</t>
  </si>
  <si>
    <t>GERENCIA DE AUDITORIA INTERNA</t>
  </si>
  <si>
    <t>AUSENCO</t>
  </si>
  <si>
    <t>GERENCIA DE COMISIONAMIENTO</t>
  </si>
  <si>
    <t>CELICOM</t>
  </si>
  <si>
    <t>GERENCIA DE EJECUCION</t>
  </si>
  <si>
    <t>CIZCORP</t>
  </si>
  <si>
    <t>GERENCIA DE EXPLORACIONES</t>
  </si>
  <si>
    <t>CCICSK</t>
  </si>
  <si>
    <t>GERENCIA DE GEOLOGIA</t>
  </si>
  <si>
    <t>CLÍNICA INTERNACIONAL</t>
  </si>
  <si>
    <t>GERENCIA DE MANTENIMIENTO</t>
  </si>
  <si>
    <t>COMIN SAC</t>
  </si>
  <si>
    <t>GERENCIA DE MEDIO AMBIENTE Y PERMISOS</t>
  </si>
  <si>
    <t>CRUZ DEL SUR</t>
  </si>
  <si>
    <t>GERENCIA DE MINA</t>
  </si>
  <si>
    <t>DISAL</t>
  </si>
  <si>
    <t>GERENCIA DE OPERACIONES</t>
  </si>
  <si>
    <t>ECOCENTURY</t>
  </si>
  <si>
    <t>GERENCIA DE PLANEAMIENTO DE MINA</t>
  </si>
  <si>
    <t>EXPLOMIN</t>
  </si>
  <si>
    <t>GERENCIA DE PROCESAMIENTO</t>
  </si>
  <si>
    <t>EXSA</t>
  </si>
  <si>
    <t>GERENCIA DE RECURSOS HUMANOS</t>
  </si>
  <si>
    <t>FERREYROS</t>
  </si>
  <si>
    <t>GERENCIA DE RES SOCIAL Y COMUNICACIONES</t>
  </si>
  <si>
    <t>FIRENO</t>
  </si>
  <si>
    <t>GERENCIA DE SEGURIDAD Y SALUD</t>
  </si>
  <si>
    <t>GEOENGINEERING</t>
  </si>
  <si>
    <t>GERENCIA GENERAL MARCOBRE</t>
  </si>
  <si>
    <t>GMD S.A.</t>
  </si>
  <si>
    <t>GERENCIA LEGAL</t>
  </si>
  <si>
    <t>GMI</t>
  </si>
  <si>
    <t>GOLDER ASSOCIATES</t>
  </si>
  <si>
    <t>GYM</t>
  </si>
  <si>
    <t>HLC</t>
  </si>
  <si>
    <t>KILLA URPI</t>
  </si>
  <si>
    <t>KNIGHT PIESOLD</t>
  </si>
  <si>
    <t>J&amp;V RESGUARDO</t>
  </si>
  <si>
    <t>LIPLATA</t>
  </si>
  <si>
    <t xml:space="preserve">MARCOBRE </t>
  </si>
  <si>
    <t>MINE SENSE</t>
  </si>
  <si>
    <t>MOTA ENGIL</t>
  </si>
  <si>
    <t>NEUMA</t>
  </si>
  <si>
    <t>NEXCOM</t>
  </si>
  <si>
    <t>PEGASUS RENTACAR</t>
  </si>
  <si>
    <t>PERVOL</t>
  </si>
  <si>
    <t>PRIMAX</t>
  </si>
  <si>
    <t>PROMCOSER</t>
  </si>
  <si>
    <t>PROMET</t>
  </si>
  <si>
    <t>QUANTA</t>
  </si>
  <si>
    <t>SECURITY TECH</t>
  </si>
  <si>
    <t>SEGARME</t>
  </si>
  <si>
    <t>SGS</t>
  </si>
  <si>
    <t>SOLTRAK</t>
  </si>
  <si>
    <t>TECHINT</t>
  </si>
  <si>
    <t>TERRAMOVE</t>
  </si>
  <si>
    <t>UNICON</t>
  </si>
  <si>
    <t>VIVARGO</t>
  </si>
  <si>
    <t>WOOD</t>
  </si>
  <si>
    <t>ZAMINE</t>
  </si>
  <si>
    <t>OTRAS</t>
  </si>
  <si>
    <t>EMPRESA</t>
  </si>
  <si>
    <t>Responsable del Registro:</t>
  </si>
  <si>
    <t>Acción preventiva/correctiva
(conclusiones y cecomendaciones)</t>
  </si>
  <si>
    <t>Descripción de Condición/Acto Subestándar</t>
  </si>
  <si>
    <t>Nombre del Representante(s) de los Trabajadores que participó en la inspección, en caso aplique:</t>
  </si>
  <si>
    <t>Otros Participantes, en caso aplique:</t>
  </si>
  <si>
    <t>Gerencia ejecutora (de la Inspección):</t>
  </si>
  <si>
    <t>Gerencia - Área inspeccionada:</t>
  </si>
  <si>
    <t>EQUIPO DE MA y SSO</t>
  </si>
  <si>
    <t>Código de inspección:</t>
  </si>
  <si>
    <t>Estado</t>
  </si>
  <si>
    <t>Lider de la inspección: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</si>
</sst>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dd/mmm/yyyy;@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color theme="0" tint="-0.34998626667073579"/>
      <name val="Arial"/>
      <family val="2"/>
    </font>
    <font>
      <sz val="10"/>
      <color rgb="FF7030A0"/>
      <name val="Arial"/>
      <family val="2"/>
    </font>
    <font>
      <sz val="10"/>
      <color rgb="FF0070C0"/>
      <name val="Arial"/>
      <family val="2"/>
    </font>
    <font>
      <sz val="8"/>
      <name val="Arial"/>
      <family val="2"/>
    </font>
    <font>
      <sz val="10"/>
      <color theme="2"/>
      <name val="Arial"/>
      <family val="2"/>
    </font>
    <font>
      <b/>
      <sz val="10"/>
      <color rgb="FFFFFFFF"/>
      <name val="Arial"/>
      <family val="2"/>
    </font>
    <font>
      <sz val="10"/>
      <color indexed="22"/>
      <name val="Arial"/>
      <family val="2"/>
    </font>
    <font>
      <b/>
      <sz val="14"/>
      <color theme="0"/>
      <name val="Arial"/>
      <family val="2"/>
    </font>
    <font>
      <sz val="11"/>
      <color theme="1"/>
      <name val="Arial"/>
      <family val="2"/>
    </font>
    <font>
      <b/>
      <sz val="12"/>
      <name val="Arial"/>
      <family val="2"/>
    </font>
    <font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D649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D372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1CD0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0"/>
    <xf numFmtId="0" fontId="1" fillId="0" borderId="0" applyAlignment="0"/>
  </cellStyleXfs>
  <cellXfs count="225">
    <xf numFmtId="0" fontId="0" fillId="0" borderId="0" xfId="0"/>
    <xf numFmtId="0" fontId="2" fillId="0" borderId="0" xfId="0" applyFont="1"/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4" fillId="6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vertical="center" wrapText="1"/>
    </xf>
    <xf numFmtId="0" fontId="4" fillId="6" borderId="5" xfId="0" applyFont="1" applyFill="1" applyBorder="1" applyAlignment="1" applyProtection="1">
      <alignment horizontal="center" vertical="center" wrapText="1"/>
      <protection locked="0" hidden="1"/>
    </xf>
    <xf numFmtId="0" fontId="2" fillId="0" borderId="5" xfId="0" applyFont="1" applyBorder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vertical="center"/>
      <protection locked="0" hidden="1"/>
    </xf>
    <xf numFmtId="0" fontId="1" fillId="0" borderId="5" xfId="0" quotePrefix="1" applyFont="1" applyBorder="1" applyAlignment="1" applyProtection="1">
      <alignment horizontal="center" vertical="center"/>
      <protection locked="0" hidden="1"/>
    </xf>
    <xf numFmtId="0" fontId="2" fillId="0" borderId="5" xfId="0" quotePrefix="1" applyFont="1" applyBorder="1" applyAlignment="1" applyProtection="1">
      <alignment horizontal="center" vertical="center"/>
      <protection locked="0" hidden="1"/>
    </xf>
    <xf numFmtId="0" fontId="1" fillId="0" borderId="5" xfId="0" applyFont="1" applyBorder="1" applyAlignment="1" applyProtection="1">
      <alignment horizontal="center" vertical="center"/>
      <protection locked="0" hidden="1"/>
    </xf>
    <xf numFmtId="0" fontId="8" fillId="0" borderId="5" xfId="0" applyFont="1" applyBorder="1" applyAlignment="1" applyProtection="1">
      <alignment horizontal="left" vertical="center" wrapText="1"/>
      <protection locked="0" hidden="1"/>
    </xf>
    <xf numFmtId="0" fontId="8" fillId="0" borderId="5" xfId="0" applyFont="1" applyBorder="1" applyAlignment="1" applyProtection="1">
      <alignment vertical="center" wrapText="1"/>
      <protection locked="0" hidden="1"/>
    </xf>
    <xf numFmtId="0" fontId="8" fillId="0" borderId="0" xfId="0" applyFont="1" applyAlignment="1" applyProtection="1">
      <alignment vertical="center"/>
      <protection locked="0" hidden="1"/>
    </xf>
    <xf numFmtId="0" fontId="1" fillId="0" borderId="0" xfId="0" applyFont="1" applyAlignment="1" applyProtection="1">
      <alignment vertical="center"/>
      <protection locked="0" hidden="1"/>
    </xf>
    <xf numFmtId="0" fontId="9" fillId="0" borderId="0" xfId="0" applyFont="1" applyProtection="1">
      <protection locked="0" hidden="1"/>
    </xf>
    <xf numFmtId="0" fontId="2" fillId="0" borderId="0" xfId="0" applyFont="1" applyProtection="1">
      <protection locked="0" hidden="1"/>
    </xf>
    <xf numFmtId="0" fontId="1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left" wrapText="1"/>
    </xf>
    <xf numFmtId="0" fontId="4" fillId="9" borderId="5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1" fillId="0" borderId="5" xfId="1" applyBorder="1" applyAlignment="1">
      <alignment horizontal="left" vertical="center" wrapText="1"/>
    </xf>
    <xf numFmtId="0" fontId="1" fillId="0" borderId="5" xfId="1" quotePrefix="1" applyBorder="1" applyAlignment="1">
      <alignment horizontal="left" vertical="center" wrapText="1"/>
    </xf>
    <xf numFmtId="0" fontId="1" fillId="0" borderId="5" xfId="1" applyBorder="1" applyAlignment="1">
      <alignment horizontal="center" vertical="center"/>
    </xf>
    <xf numFmtId="0" fontId="1" fillId="0" borderId="5" xfId="1" applyBorder="1" applyAlignment="1">
      <alignment vertical="center" wrapText="1"/>
    </xf>
    <xf numFmtId="0" fontId="11" fillId="0" borderId="0" xfId="1" applyFont="1"/>
    <xf numFmtId="0" fontId="11" fillId="0" borderId="0" xfId="1" applyFont="1" applyAlignment="1">
      <alignment horizontal="center"/>
    </xf>
    <xf numFmtId="0" fontId="1" fillId="0" borderId="0" xfId="1"/>
    <xf numFmtId="0" fontId="1" fillId="0" borderId="0" xfId="1" applyAlignment="1">
      <alignment horizontal="center"/>
    </xf>
    <xf numFmtId="0" fontId="10" fillId="7" borderId="5" xfId="1" applyFont="1" applyFill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1" fillId="0" borderId="0" xfId="1" applyAlignment="1">
      <alignment vertical="center" wrapText="1"/>
    </xf>
    <xf numFmtId="0" fontId="1" fillId="0" borderId="5" xfId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1" fillId="0" borderId="0" xfId="1" applyAlignment="1">
      <alignment vertical="center"/>
    </xf>
    <xf numFmtId="0" fontId="3" fillId="10" borderId="5" xfId="1" applyFont="1" applyFill="1" applyBorder="1" applyAlignment="1">
      <alignment horizontal="center" vertical="center"/>
    </xf>
    <xf numFmtId="0" fontId="3" fillId="10" borderId="5" xfId="1" applyFont="1" applyFill="1" applyBorder="1" applyAlignment="1">
      <alignment horizontal="left" vertical="center"/>
    </xf>
    <xf numFmtId="0" fontId="3" fillId="11" borderId="5" xfId="1" applyFont="1" applyFill="1" applyBorder="1" applyAlignment="1">
      <alignment horizontal="left" vertical="center"/>
    </xf>
    <xf numFmtId="0" fontId="3" fillId="12" borderId="5" xfId="1" applyFont="1" applyFill="1" applyBorder="1" applyAlignment="1">
      <alignment horizontal="left" vertical="center"/>
    </xf>
    <xf numFmtId="0" fontId="3" fillId="8" borderId="5" xfId="1" applyFont="1" applyFill="1" applyBorder="1" applyAlignment="1">
      <alignment horizontal="left" vertical="center"/>
    </xf>
    <xf numFmtId="0" fontId="3" fillId="0" borderId="9" xfId="1" applyFont="1" applyBorder="1" applyAlignment="1">
      <alignment vertical="center" wrapText="1"/>
    </xf>
    <xf numFmtId="0" fontId="1" fillId="0" borderId="0" xfId="1" applyAlignment="1">
      <alignment horizontal="center" vertical="top" wrapText="1"/>
    </xf>
    <xf numFmtId="0" fontId="1" fillId="0" borderId="0" xfId="1" applyAlignment="1">
      <alignment horizontal="center" vertical="center" wrapText="1"/>
    </xf>
    <xf numFmtId="165" fontId="1" fillId="0" borderId="6" xfId="1" applyNumberFormat="1" applyBorder="1" applyAlignment="1">
      <alignment horizontal="center" vertical="center" wrapText="1"/>
    </xf>
    <xf numFmtId="0" fontId="1" fillId="0" borderId="6" xfId="1" applyBorder="1" applyAlignment="1">
      <alignment horizontal="center"/>
    </xf>
    <xf numFmtId="0" fontId="3" fillId="0" borderId="9" xfId="1" applyFont="1" applyBorder="1" applyAlignment="1">
      <alignment horizontal="left"/>
    </xf>
    <xf numFmtId="0" fontId="3" fillId="0" borderId="0" xfId="1" applyFont="1" applyAlignment="1">
      <alignment vertical="center" wrapText="1"/>
    </xf>
    <xf numFmtId="0" fontId="1" fillId="0" borderId="6" xfId="1" applyBorder="1" applyAlignment="1">
      <alignment horizontal="center" vertical="center"/>
    </xf>
    <xf numFmtId="0" fontId="11" fillId="0" borderId="6" xfId="1" applyFont="1" applyBorder="1"/>
    <xf numFmtId="0" fontId="11" fillId="0" borderId="9" xfId="1" applyFont="1" applyBorder="1"/>
    <xf numFmtId="0" fontId="11" fillId="0" borderId="6" xfId="1" applyFont="1" applyBorder="1" applyAlignment="1">
      <alignment horizontal="center"/>
    </xf>
    <xf numFmtId="0" fontId="3" fillId="0" borderId="0" xfId="1" applyFont="1" applyAlignment="1">
      <alignment horizontal="left"/>
    </xf>
    <xf numFmtId="0" fontId="11" fillId="0" borderId="9" xfId="1" applyFont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9" xfId="0" applyBorder="1"/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0" fillId="0" borderId="1" xfId="0" applyBorder="1"/>
    <xf numFmtId="0" fontId="13" fillId="0" borderId="0" xfId="0" applyFont="1"/>
    <xf numFmtId="0" fontId="2" fillId="4" borderId="2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6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/>
    </xf>
    <xf numFmtId="0" fontId="2" fillId="0" borderId="9" xfId="0" applyFont="1" applyBorder="1"/>
    <xf numFmtId="0" fontId="4" fillId="0" borderId="0" xfId="0" applyFont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2" fillId="0" borderId="8" xfId="0" applyFont="1" applyBorder="1"/>
    <xf numFmtId="0" fontId="3" fillId="2" borderId="7" xfId="0" applyFont="1" applyFill="1" applyBorder="1" applyAlignment="1">
      <alignment horizontal="righ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/>
    </xf>
    <xf numFmtId="0" fontId="1" fillId="2" borderId="7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3" borderId="0" xfId="0" applyFont="1" applyFill="1" applyAlignment="1">
      <alignment horizontal="right" vertical="center"/>
    </xf>
    <xf numFmtId="0" fontId="1" fillId="3" borderId="0" xfId="0" applyFont="1" applyFill="1" applyAlignment="1">
      <alignment vertical="center"/>
    </xf>
    <xf numFmtId="0" fontId="2" fillId="0" borderId="12" xfId="0" applyFont="1" applyBorder="1"/>
    <xf numFmtId="0" fontId="4" fillId="0" borderId="11" xfId="0" applyFont="1" applyBorder="1" applyAlignment="1">
      <alignment horizontal="left" vertical="center" wrapText="1"/>
    </xf>
    <xf numFmtId="0" fontId="3" fillId="3" borderId="0" xfId="0" applyFont="1" applyFill="1" applyAlignment="1">
      <alignment vertical="center" wrapText="1"/>
    </xf>
    <xf numFmtId="0" fontId="1" fillId="3" borderId="6" xfId="0" applyFont="1" applyFill="1" applyBorder="1" applyAlignment="1">
      <alignment vertical="center"/>
    </xf>
    <xf numFmtId="0" fontId="3" fillId="3" borderId="0" xfId="0" applyFont="1" applyFill="1" applyAlignment="1">
      <alignment horizontal="right"/>
    </xf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vertical="center"/>
    </xf>
    <xf numFmtId="0" fontId="1" fillId="3" borderId="6" xfId="0" applyFont="1" applyFill="1" applyBorder="1"/>
    <xf numFmtId="0" fontId="3" fillId="3" borderId="6" xfId="0" applyFont="1" applyFill="1" applyBorder="1" applyAlignment="1">
      <alignment vertical="center" wrapText="1"/>
    </xf>
    <xf numFmtId="0" fontId="7" fillId="3" borderId="0" xfId="0" applyFont="1" applyFill="1" applyAlignment="1">
      <alignment vertical="center"/>
    </xf>
    <xf numFmtId="0" fontId="7" fillId="3" borderId="6" xfId="0" applyFont="1" applyFill="1" applyBorder="1"/>
    <xf numFmtId="0" fontId="5" fillId="3" borderId="6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horizontal="right"/>
    </xf>
    <xf numFmtId="0" fontId="1" fillId="3" borderId="7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4" fillId="6" borderId="3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16" fillId="0" borderId="0" xfId="0" quotePrefix="1" applyFont="1" applyAlignment="1" applyProtection="1">
      <alignment vertical="center" wrapText="1"/>
      <protection locked="0" hidden="1"/>
    </xf>
    <xf numFmtId="0" fontId="17" fillId="0" borderId="0" xfId="0" quotePrefix="1" applyFont="1" applyAlignment="1" applyProtection="1">
      <alignment vertical="center" wrapText="1"/>
      <protection locked="0" hidden="1"/>
    </xf>
    <xf numFmtId="49" fontId="16" fillId="0" borderId="0" xfId="0" quotePrefix="1" applyNumberFormat="1" applyFont="1" applyAlignment="1" applyProtection="1">
      <alignment vertical="center" wrapText="1"/>
      <protection locked="0" hidden="1"/>
    </xf>
    <xf numFmtId="0" fontId="17" fillId="0" borderId="0" xfId="0" applyFont="1" applyAlignment="1" applyProtection="1">
      <alignment vertical="center"/>
      <protection locked="0" hidden="1"/>
    </xf>
    <xf numFmtId="0" fontId="18" fillId="0" borderId="0" xfId="0" applyFont="1"/>
    <xf numFmtId="0" fontId="15" fillId="0" borderId="0" xfId="0" applyFont="1"/>
    <xf numFmtId="0" fontId="19" fillId="4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9" fillId="2" borderId="0" xfId="0" applyFont="1" applyFill="1"/>
    <xf numFmtId="0" fontId="2" fillId="0" borderId="0" xfId="0" applyFont="1" applyAlignment="1"/>
    <xf numFmtId="0" fontId="3" fillId="3" borderId="0" xfId="0" applyFont="1" applyFill="1" applyAlignment="1">
      <alignment horizontal="right" vertical="center" wrapText="1"/>
    </xf>
    <xf numFmtId="0" fontId="3" fillId="3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right" vertical="center" wrapText="1"/>
    </xf>
    <xf numFmtId="0" fontId="3" fillId="2" borderId="6" xfId="0" applyFont="1" applyFill="1" applyBorder="1" applyAlignment="1">
      <alignment horizontal="right" vertical="center" wrapText="1"/>
    </xf>
    <xf numFmtId="0" fontId="2" fillId="0" borderId="9" xfId="0" applyFont="1" applyBorder="1" applyAlignment="1">
      <alignment horizontal="center"/>
    </xf>
    <xf numFmtId="0" fontId="3" fillId="3" borderId="9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3" borderId="0" xfId="0" applyFont="1" applyFill="1" applyAlignment="1">
      <alignment horizontal="right" vertical="center" wrapText="1"/>
    </xf>
    <xf numFmtId="0" fontId="3" fillId="3" borderId="6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3" borderId="13" xfId="0" applyFont="1" applyFill="1" applyBorder="1" applyAlignment="1">
      <alignment horizontal="left" vertical="center" wrapText="1"/>
    </xf>
    <xf numFmtId="0" fontId="1" fillId="3" borderId="13" xfId="0" applyFont="1" applyFill="1" applyBorder="1" applyAlignment="1">
      <alignment horizontal="left" vertical="center"/>
    </xf>
    <xf numFmtId="14" fontId="1" fillId="0" borderId="3" xfId="0" applyNumberFormat="1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0" fontId="3" fillId="3" borderId="6" xfId="0" applyFont="1" applyFill="1" applyBorder="1" applyAlignment="1">
      <alignment horizontal="right" vertical="center"/>
    </xf>
    <xf numFmtId="0" fontId="4" fillId="6" borderId="2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4" borderId="3" xfId="0" quotePrefix="1" applyFont="1" applyFill="1" applyBorder="1" applyAlignment="1">
      <alignment horizontal="center" vertical="center" wrapText="1"/>
    </xf>
    <xf numFmtId="0" fontId="2" fillId="4" borderId="4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3" fillId="2" borderId="6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2" fillId="0" borderId="3" xfId="0" applyNumberFormat="1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2" fillId="4" borderId="2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8" xfId="1" applyFont="1" applyFill="1" applyBorder="1" applyAlignment="1">
      <alignment horizontal="center"/>
    </xf>
    <xf numFmtId="0" fontId="4" fillId="6" borderId="7" xfId="1" applyFont="1" applyFill="1" applyBorder="1" applyAlignment="1">
      <alignment horizontal="center"/>
    </xf>
    <xf numFmtId="0" fontId="4" fillId="6" borderId="1" xfId="1" applyFont="1" applyFill="1" applyBorder="1" applyAlignment="1">
      <alignment horizontal="center"/>
    </xf>
    <xf numFmtId="0" fontId="12" fillId="13" borderId="12" xfId="1" applyFont="1" applyFill="1" applyBorder="1" applyAlignment="1">
      <alignment horizontal="center" vertical="center"/>
    </xf>
    <xf numFmtId="0" fontId="12" fillId="13" borderId="11" xfId="1" applyFont="1" applyFill="1" applyBorder="1" applyAlignment="1">
      <alignment horizontal="center" vertical="center"/>
    </xf>
    <xf numFmtId="0" fontId="12" fillId="13" borderId="10" xfId="1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center"/>
    </xf>
    <xf numFmtId="0" fontId="3" fillId="13" borderId="3" xfId="1" applyFont="1" applyFill="1" applyBorder="1" applyAlignment="1">
      <alignment horizontal="center"/>
    </xf>
    <xf numFmtId="0" fontId="3" fillId="13" borderId="4" xfId="1" applyFont="1" applyFill="1" applyBorder="1" applyAlignment="1">
      <alignment horizontal="center"/>
    </xf>
    <xf numFmtId="0" fontId="1" fillId="0" borderId="1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E1CD00"/>
      <color rgb="FFCD3728"/>
      <color rgb="FF2D64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111068</xdr:colOff>
      <xdr:row>0</xdr:row>
      <xdr:rowOff>140122</xdr:rowOff>
    </xdr:from>
    <xdr:to>
      <xdr:col>4</xdr:col>
      <xdr:colOff>733778</xdr:colOff>
      <xdr:row>1</xdr:row>
      <xdr:rowOff>327301</xdr:rowOff>
    </xdr:to>
    <xdr:pic>
      <xdr:nvPicPr>
        <xdr:cNvPr id="2" name="Imagen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000" b="17770"/>
        <a:stretch>
          <a:fillRect/>
        </a:stretch>
      </xdr:blipFill>
      <xdr:spPr bwMode="auto">
        <a:xfrm>
          <a:off x="111068" y="140122"/>
          <a:ext cx="2054988" cy="448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27</xdr:col>
      <xdr:colOff>1102849</xdr:colOff>
      <xdr:row>0</xdr:row>
      <xdr:rowOff>67734</xdr:rowOff>
    </xdr:from>
    <xdr:to>
      <xdr:col>28</xdr:col>
      <xdr:colOff>607716</xdr:colOff>
      <xdr:row>2</xdr:row>
      <xdr:rowOff>173182</xdr:rowOff>
    </xdr:to>
    <xdr:pic>
      <xdr:nvPicPr>
        <xdr:cNvPr id="5" name="Imagen 3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5" b="492"/>
        <a:stretch/>
      </xdr:blipFill>
      <xdr:spPr bwMode="auto">
        <a:xfrm>
          <a:off x="19344667" y="67734"/>
          <a:ext cx="781506" cy="740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279400</xdr:colOff>
      <xdr:row>27</xdr:row>
      <xdr:rowOff>0</xdr:rowOff>
    </xdr:to>
    <xdr:sp macro="" textlink="">
      <xdr:nvSpPr>
        <xdr:cNvPr id="1048" name="202" hidden="1">
          <a:extLst>
            <a:ext uri="{FF2B5EF4-FFF2-40B4-BE49-F238E27FC236}">
              <a16:creationId xmlns:a16="http://schemas.microsoft.com/office/drawing/2014/main" id="{6CCE596E-176E-DF08-A5F5-D28CA9A92F43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210388</xdr:colOff>
      <xdr:row>14</xdr:row>
      <xdr:rowOff>104916</xdr:rowOff>
    </xdr:from>
    <xdr:to>
      <xdr:col>2</xdr:col>
      <xdr:colOff>3206681</xdr:colOff>
      <xdr:row>26</xdr:row>
      <xdr:rowOff>26418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0388" y="6096141"/>
          <a:ext cx="4453618" cy="220750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</xdr:col>
      <xdr:colOff>69501</xdr:colOff>
      <xdr:row>14</xdr:row>
      <xdr:rowOff>73793</xdr:rowOff>
    </xdr:from>
    <xdr:to>
      <xdr:col>3</xdr:col>
      <xdr:colOff>4808869</xdr:colOff>
      <xdr:row>37</xdr:row>
      <xdr:rowOff>132826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003451" y="6065018"/>
          <a:ext cx="4739368" cy="41262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238124</xdr:colOff>
      <xdr:row>1</xdr:row>
      <xdr:rowOff>114300</xdr:rowOff>
    </xdr:from>
    <xdr:to>
      <xdr:col>10</xdr:col>
      <xdr:colOff>518298</xdr:colOff>
      <xdr:row>20</xdr:row>
      <xdr:rowOff>43028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124" y="304800"/>
          <a:ext cx="7900174" cy="354822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arcobrefs1\Medio%20Ambiente\Users\cmegoa\AppData\Local\Microsoft\Windows\INetCache\Content.Outlook\WQF5LTNM\Avance%20Matriz%20de%20Capacitaci&#243;n%20DS-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3"/>
      <sheetName val="Padrón"/>
      <sheetName val="Diagnóstico"/>
      <sheetName val="Reporte Asistencia"/>
      <sheetName val="Diag_Lima"/>
      <sheetName val="TIPOCURSO"/>
      <sheetName val="SEG_OBLIGATORIOS"/>
      <sheetName val="SEG_FINAL"/>
      <sheetName val="Agosto"/>
      <sheetName val="Registro Asistencia Lima"/>
      <sheetName val="Avance"/>
      <sheetName val="COMITE"/>
      <sheetName val="Setiembre"/>
      <sheetName val="Octubre"/>
      <sheetName val="Noviembre"/>
      <sheetName val="Plan Capacitación 2019"/>
      <sheetName val="Lista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64"/>
  <sheetViews>
    <sheetView topLeftCell="A6" workbookViewId="0">
      <selection activeCell="B13" sqref="B13"/>
    </sheetView>
  </sheetViews>
  <sheetFormatPr defaultColWidth="11.42578125" defaultRowHeight="12.75" x14ac:dyDescent="0.2"/>
  <cols>
    <col min="1" max="1" width="17.28515625" style="19" customWidth="1"/>
    <col min="2" max="2" width="14" style="19" customWidth="1"/>
    <col min="3" max="3" width="14.7109375" style="19" customWidth="1"/>
    <col min="4" max="4" width="18" style="19" customWidth="1"/>
    <col min="5" max="5" width="15.42578125" style="19" customWidth="1"/>
    <col min="6" max="6" width="20" style="19" customWidth="1"/>
    <col min="7" max="7" width="15.5703125" style="19" bestFit="1" customWidth="1"/>
    <col min="8" max="17" width="16.28515625" style="19" customWidth="1"/>
    <col min="18" max="18" width="5.28515625" style="19" customWidth="1"/>
    <col min="19" max="19" width="17.7109375" style="19" customWidth="1"/>
    <col min="20" max="21" width="16.28515625" style="19" customWidth="1"/>
    <col min="22" max="23" width="15.42578125" style="19" customWidth="1"/>
    <col min="24" max="24" width="22.5703125" style="19" customWidth="1"/>
    <col min="25" max="25" width="14.5703125" style="19" customWidth="1"/>
    <col min="26" max="27" width="15.28515625" style="19" customWidth="1"/>
    <col min="28" max="28" width="11.42578125" style="19"/>
    <col min="29" max="29" width="13.7109375" style="19" customWidth="1"/>
    <col min="30" max="39" width="11.42578125" style="19"/>
    <col min="40" max="40" width="12.42578125" style="19" customWidth="1"/>
    <col min="41" max="41" width="17.5703125" style="19" customWidth="1"/>
    <col min="42" max="59" width="11.42578125" style="19"/>
    <col min="60" max="60" width="4.28515625" style="19" customWidth="1"/>
    <col min="61" max="61" width="17.7109375" style="19" customWidth="1"/>
    <col min="62" max="16384" width="11.42578125" style="19"/>
  </cols>
  <sheetData>
    <row r="1" spans="1:79" s="10" customFormat="1" ht="35.1" customHeight="1" x14ac:dyDescent="0.25">
      <c r="A1" s="8" t="s">
        <v>37</v>
      </c>
      <c r="B1" s="9" t="s">
        <v>35</v>
      </c>
      <c r="C1" s="9" t="s">
        <v>36</v>
      </c>
    </row>
    <row r="3" spans="1:79" s="10" customFormat="1" ht="35.1" customHeight="1" x14ac:dyDescent="0.25">
      <c r="A3" s="8" t="s">
        <v>32</v>
      </c>
      <c r="B3" s="9" t="s">
        <v>34</v>
      </c>
      <c r="C3" s="9" t="s">
        <v>211</v>
      </c>
      <c r="D3" s="9" t="s">
        <v>33</v>
      </c>
    </row>
    <row r="5" spans="1:79" s="10" customFormat="1" ht="35.1" customHeight="1" x14ac:dyDescent="0.25">
      <c r="A5" s="8" t="s">
        <v>38</v>
      </c>
      <c r="B5" s="11" t="e">
        <f>IF(Inspección!#REF!="MA","Tolerable","")</f>
        <v>#REF!</v>
      </c>
      <c r="C5" s="12" t="e">
        <f>IF(Inspección!#REF!="MA","Alerta","")</f>
        <v>#REF!</v>
      </c>
      <c r="D5" s="12" t="e">
        <f>IF(Inspección!#REF!="MA","No aceptable","")</f>
        <v>#REF!</v>
      </c>
      <c r="E5" s="9" t="e">
        <f>IF(Inspección!#REF!="SSO","Bajo","")</f>
        <v>#REF!</v>
      </c>
      <c r="F5" s="13" t="e">
        <f>IF(Inspección!#REF!="SSO","Medio","")</f>
        <v>#REF!</v>
      </c>
      <c r="G5" s="13" t="e">
        <f>IF(Inspección!#REF!="SSO","Alto","")</f>
        <v>#REF!</v>
      </c>
    </row>
    <row r="7" spans="1:79" s="16" customFormat="1" ht="56.25" customHeight="1" x14ac:dyDescent="0.25">
      <c r="A7" s="8" t="s">
        <v>112</v>
      </c>
      <c r="B7" s="14" t="s">
        <v>39</v>
      </c>
      <c r="C7" s="14" t="s">
        <v>40</v>
      </c>
      <c r="D7" s="14" t="s">
        <v>41</v>
      </c>
      <c r="E7" s="14" t="s">
        <v>42</v>
      </c>
      <c r="F7" s="14" t="s">
        <v>43</v>
      </c>
      <c r="G7" s="14" t="s">
        <v>44</v>
      </c>
      <c r="H7" s="14" t="s">
        <v>45</v>
      </c>
      <c r="I7" s="14" t="s">
        <v>46</v>
      </c>
      <c r="J7" s="14" t="s">
        <v>47</v>
      </c>
      <c r="K7" s="14" t="s">
        <v>48</v>
      </c>
      <c r="L7" s="14" t="s">
        <v>49</v>
      </c>
      <c r="M7" s="14" t="s">
        <v>50</v>
      </c>
      <c r="N7" s="14" t="s">
        <v>51</v>
      </c>
      <c r="O7" s="14" t="s">
        <v>52</v>
      </c>
      <c r="P7" s="14" t="s">
        <v>53</v>
      </c>
      <c r="Q7" s="14" t="s">
        <v>54</v>
      </c>
      <c r="R7" s="14" t="s">
        <v>118</v>
      </c>
      <c r="S7" s="8" t="s">
        <v>113</v>
      </c>
      <c r="T7" s="14" t="s">
        <v>55</v>
      </c>
      <c r="U7" s="14" t="s">
        <v>56</v>
      </c>
      <c r="V7" s="14" t="s">
        <v>57</v>
      </c>
      <c r="W7" s="14" t="s">
        <v>58</v>
      </c>
      <c r="X7" s="14" t="s">
        <v>59</v>
      </c>
      <c r="Y7" s="14" t="s">
        <v>60</v>
      </c>
      <c r="Z7" s="14" t="s">
        <v>61</v>
      </c>
      <c r="AA7" s="14" t="s">
        <v>62</v>
      </c>
      <c r="AB7" s="14" t="s">
        <v>63</v>
      </c>
      <c r="AC7" s="14" t="s">
        <v>64</v>
      </c>
      <c r="AD7" s="14" t="s">
        <v>66</v>
      </c>
      <c r="AE7" s="14" t="s">
        <v>65</v>
      </c>
      <c r="AF7" s="14" t="s">
        <v>67</v>
      </c>
      <c r="AG7" s="14" t="s">
        <v>68</v>
      </c>
      <c r="AH7" s="14" t="s">
        <v>69</v>
      </c>
      <c r="AI7" s="14" t="s">
        <v>70</v>
      </c>
      <c r="AJ7" s="14" t="s">
        <v>71</v>
      </c>
      <c r="AK7" s="14" t="s">
        <v>72</v>
      </c>
      <c r="AL7" s="14" t="s">
        <v>73</v>
      </c>
      <c r="AM7" s="14" t="s">
        <v>74</v>
      </c>
      <c r="AN7" s="14" t="s">
        <v>75</v>
      </c>
      <c r="AO7" s="8" t="s">
        <v>116</v>
      </c>
      <c r="AP7" s="15" t="s">
        <v>76</v>
      </c>
      <c r="AQ7" s="15" t="s">
        <v>77</v>
      </c>
      <c r="AR7" s="15" t="s">
        <v>78</v>
      </c>
      <c r="AS7" s="15" t="s">
        <v>79</v>
      </c>
      <c r="AT7" s="15" t="s">
        <v>80</v>
      </c>
      <c r="AU7" s="15" t="s">
        <v>81</v>
      </c>
      <c r="AV7" s="15" t="s">
        <v>82</v>
      </c>
      <c r="AW7" s="15" t="s">
        <v>83</v>
      </c>
      <c r="AX7" s="15" t="s">
        <v>84</v>
      </c>
      <c r="AY7" s="15" t="s">
        <v>85</v>
      </c>
      <c r="AZ7" s="15" t="s">
        <v>86</v>
      </c>
      <c r="BA7" s="15" t="s">
        <v>87</v>
      </c>
      <c r="BB7" s="15" t="s">
        <v>88</v>
      </c>
      <c r="BC7" s="15" t="s">
        <v>89</v>
      </c>
      <c r="BD7" s="15" t="s">
        <v>90</v>
      </c>
      <c r="BE7" s="15" t="s">
        <v>91</v>
      </c>
      <c r="BF7" s="15" t="s">
        <v>92</v>
      </c>
      <c r="BG7" s="15" t="s">
        <v>93</v>
      </c>
      <c r="BH7" s="14" t="s">
        <v>118</v>
      </c>
      <c r="BI7" s="8" t="s">
        <v>117</v>
      </c>
      <c r="BJ7" s="14" t="s">
        <v>111</v>
      </c>
      <c r="BK7" s="14" t="s">
        <v>110</v>
      </c>
      <c r="BL7" s="14" t="s">
        <v>109</v>
      </c>
      <c r="BM7" s="14" t="s">
        <v>108</v>
      </c>
      <c r="BN7" s="14" t="s">
        <v>94</v>
      </c>
      <c r="BO7" s="14" t="s">
        <v>107</v>
      </c>
      <c r="BP7" s="14" t="s">
        <v>106</v>
      </c>
      <c r="BQ7" s="14" t="s">
        <v>105</v>
      </c>
      <c r="BR7" s="14" t="s">
        <v>104</v>
      </c>
      <c r="BS7" s="14" t="s">
        <v>103</v>
      </c>
      <c r="BT7" s="14" t="s">
        <v>102</v>
      </c>
      <c r="BU7" s="14" t="s">
        <v>101</v>
      </c>
      <c r="BV7" s="14" t="s">
        <v>100</v>
      </c>
      <c r="BW7" s="14" t="s">
        <v>99</v>
      </c>
      <c r="BX7" s="14" t="s">
        <v>98</v>
      </c>
      <c r="BY7" s="14" t="s">
        <v>97</v>
      </c>
      <c r="BZ7" s="14" t="s">
        <v>96</v>
      </c>
      <c r="CA7" s="14" t="s">
        <v>95</v>
      </c>
    </row>
    <row r="8" spans="1:79" s="109" customFormat="1" ht="15" customHeight="1" x14ac:dyDescent="0.25">
      <c r="A8" s="106" t="e">
        <f>IF(Inspección!#REF!="MA",$A$7,"")</f>
        <v>#REF!</v>
      </c>
      <c r="B8" s="107" t="e">
        <f>IF(Inspección!#REF!="MA",$B$7,"")</f>
        <v>#REF!</v>
      </c>
      <c r="C8" s="107" t="e">
        <f>IF(Inspección!#REF!="MA",$C$7,"")</f>
        <v>#REF!</v>
      </c>
      <c r="D8" s="107" t="e">
        <f>IF(Inspección!#REF!="MA",$D$7,"")</f>
        <v>#REF!</v>
      </c>
      <c r="E8" s="107" t="e">
        <f>IF(Inspección!#REF!="MA",$E$7,"")</f>
        <v>#REF!</v>
      </c>
      <c r="F8" s="107" t="e">
        <f>IF(Inspección!#REF!="MA",$F$7,"")</f>
        <v>#REF!</v>
      </c>
      <c r="G8" s="107" t="e">
        <f>IF(Inspección!#REF!="MA",$G$7,"")</f>
        <v>#REF!</v>
      </c>
      <c r="H8" s="107" t="e">
        <f>IF(Inspección!#REF!="MA",$H$7,"")</f>
        <v>#REF!</v>
      </c>
      <c r="I8" s="107" t="e">
        <f>IF(Inspección!#REF!="MA",$I$7,"")</f>
        <v>#REF!</v>
      </c>
      <c r="J8" s="107" t="e">
        <f>IF(Inspección!#REF!="MA",$J$7,"")</f>
        <v>#REF!</v>
      </c>
      <c r="K8" s="107" t="e">
        <f>IF(Inspección!#REF!="MA",$K$7,"")</f>
        <v>#REF!</v>
      </c>
      <c r="L8" s="107" t="e">
        <f>IF(Inspección!#REF!="MA",$L$7,"")</f>
        <v>#REF!</v>
      </c>
      <c r="M8" s="107" t="e">
        <f>IF(Inspección!#REF!="MA",$M$7,"")</f>
        <v>#REF!</v>
      </c>
      <c r="N8" s="107" t="e">
        <f>IF(Inspección!#REF!="MA",$N$7,"")</f>
        <v>#REF!</v>
      </c>
      <c r="O8" s="107" t="e">
        <f>IF(Inspección!#REF!="MA",$O$7,"")</f>
        <v>#REF!</v>
      </c>
      <c r="P8" s="107" t="e">
        <f>IF(Inspección!#REF!="MA",$P$7,"")</f>
        <v>#REF!</v>
      </c>
      <c r="Q8" s="107" t="e">
        <f>IF(Inspección!#REF!="MA",$Q$7,"")</f>
        <v>#REF!</v>
      </c>
      <c r="R8" s="107" t="e">
        <f>IF(Inspección!#REF!="MA",$R$7,"")</f>
        <v>#REF!</v>
      </c>
      <c r="S8" s="106" t="e">
        <f>IF(Inspección!#REF!="MA",$S$7,"")</f>
        <v>#REF!</v>
      </c>
      <c r="T8" s="107" t="e">
        <f>IF(Inspección!#REF!="MA",$T$7,"")</f>
        <v>#REF!</v>
      </c>
      <c r="U8" s="107" t="e">
        <f>IF(Inspección!#REF!="MA",$U$7,"")</f>
        <v>#REF!</v>
      </c>
      <c r="V8" s="107" t="e">
        <f>IF(Inspección!#REF!="MA",$V$7,"")</f>
        <v>#REF!</v>
      </c>
      <c r="W8" s="107" t="e">
        <f>IF(Inspección!#REF!="MA",$W$7,"")</f>
        <v>#REF!</v>
      </c>
      <c r="X8" s="107" t="e">
        <f>IF(Inspección!#REF!="MA",$X$7,"")</f>
        <v>#REF!</v>
      </c>
      <c r="Y8" s="107" t="e">
        <f>IF(Inspección!#REF!="MA",$Y$7,"")</f>
        <v>#REF!</v>
      </c>
      <c r="Z8" s="107" t="e">
        <f>IF(Inspección!#REF!="MA",$Z$7,"")</f>
        <v>#REF!</v>
      </c>
      <c r="AA8" s="107" t="e">
        <f>IF(Inspección!#REF!="MA",$AA$7,"")</f>
        <v>#REF!</v>
      </c>
      <c r="AB8" s="107" t="e">
        <f>IF(Inspección!#REF!="MA",$AB$7,"")</f>
        <v>#REF!</v>
      </c>
      <c r="AC8" s="107" t="e">
        <f>IF(Inspección!#REF!="MA",$AC$7,"")</f>
        <v>#REF!</v>
      </c>
      <c r="AD8" s="107" t="e">
        <f>IF(Inspección!#REF!="MA",$AD$7,"")</f>
        <v>#REF!</v>
      </c>
      <c r="AE8" s="107" t="e">
        <f>IF(Inspección!#REF!="MA",$AE$7,"")</f>
        <v>#REF!</v>
      </c>
      <c r="AF8" s="107" t="e">
        <f>IF(Inspección!#REF!="MA",$AF$7,"")</f>
        <v>#REF!</v>
      </c>
      <c r="AG8" s="107" t="e">
        <f>IF(Inspección!#REF!="MA",$AG$7,"")</f>
        <v>#REF!</v>
      </c>
      <c r="AH8" s="107" t="e">
        <f>IF(Inspección!#REF!="MA",$AH$7,"")</f>
        <v>#REF!</v>
      </c>
      <c r="AI8" s="107" t="e">
        <f>IF(Inspección!#REF!="MA",$AI$7,"")</f>
        <v>#REF!</v>
      </c>
      <c r="AJ8" s="107" t="e">
        <f>IF(Inspección!#REF!="MA",$AJ$7,"")</f>
        <v>#REF!</v>
      </c>
      <c r="AK8" s="107" t="e">
        <f>IF(Inspección!#REF!="MA",$AK$7,"")</f>
        <v>#REF!</v>
      </c>
      <c r="AL8" s="107" t="e">
        <f>IF(Inspección!#REF!="MA",$AL$7,"")</f>
        <v>#REF!</v>
      </c>
      <c r="AM8" s="107" t="e">
        <f>IF(Inspección!#REF!="MA",$AM$7,"")</f>
        <v>#REF!</v>
      </c>
      <c r="AN8" s="107" t="e">
        <f>IF(Inspección!#REF!="MA",$AN$7,"")</f>
        <v>#REF!</v>
      </c>
      <c r="AO8" s="107" t="e">
        <f>IF(Inspección!#REF!="SSO",$AO$7,"")</f>
        <v>#REF!</v>
      </c>
      <c r="AP8" s="107" t="e">
        <f>IF(Inspección!#REF!="SSO",$AP$7,"")</f>
        <v>#REF!</v>
      </c>
      <c r="AQ8" s="107" t="e">
        <f>IF(Inspección!#REF!="SSO",$AQ$7,"")</f>
        <v>#REF!</v>
      </c>
      <c r="AR8" s="106" t="e">
        <f>IF(Inspección!#REF!="SSO",$AR$7,"")</f>
        <v>#REF!</v>
      </c>
      <c r="AS8" s="107" t="e">
        <f>IF(Inspección!#REF!="SSO",$AS$7,"")</f>
        <v>#REF!</v>
      </c>
      <c r="AT8" s="107" t="e">
        <f>IF(Inspección!#REF!="SSO",$AT$7,"")</f>
        <v>#REF!</v>
      </c>
      <c r="AU8" s="107" t="e">
        <f>IF(Inspección!#REF!="SSO",$AU$7,"")</f>
        <v>#REF!</v>
      </c>
      <c r="AV8" s="107" t="e">
        <f>IF(Inspección!#REF!="SSO",$AV$7,"")</f>
        <v>#REF!</v>
      </c>
      <c r="AW8" s="107" t="e">
        <f>IF(Inspección!#REF!="SSO",$AW$7,"")</f>
        <v>#REF!</v>
      </c>
      <c r="AX8" s="107" t="e">
        <f>IF(Inspección!#REF!="SSO",$AX$7,"")</f>
        <v>#REF!</v>
      </c>
      <c r="AY8" s="107" t="e">
        <f>IF(Inspección!#REF!="SSO",$AY$7,"")</f>
        <v>#REF!</v>
      </c>
      <c r="AZ8" s="107" t="e">
        <f>IF(Inspección!#REF!="SSO",$AZ$7,"")</f>
        <v>#REF!</v>
      </c>
      <c r="BA8" s="107" t="e">
        <f>IF(Inspección!#REF!="SSO",$BA$7,"")</f>
        <v>#REF!</v>
      </c>
      <c r="BB8" s="107" t="e">
        <f>IF(Inspección!#REF!="SSO",$BB$7,"")</f>
        <v>#REF!</v>
      </c>
      <c r="BC8" s="107" t="e">
        <f>IF(Inspección!#REF!="SSO",$BC$7,"")</f>
        <v>#REF!</v>
      </c>
      <c r="BD8" s="107" t="e">
        <f>IF(Inspección!#REF!="SSO",$BD$7,"")</f>
        <v>#REF!</v>
      </c>
      <c r="BE8" s="107" t="e">
        <f>IF(Inspección!#REF!="SSO",$BE$7,"")</f>
        <v>#REF!</v>
      </c>
      <c r="BF8" s="107" t="e">
        <f>IF(Inspección!#REF!="SSO",$BF$7,"")</f>
        <v>#REF!</v>
      </c>
      <c r="BG8" s="107" t="e">
        <f>IF(Inspección!#REF!="SSO",$BG$7,"")</f>
        <v>#REF!</v>
      </c>
      <c r="BH8" s="108" t="e">
        <f>IF(Inspección!#REF!="SSO",$BH$7,"")</f>
        <v>#REF!</v>
      </c>
      <c r="BI8" s="106" t="e">
        <f>IF(Inspección!#REF!="SSO",$BI$7,"")</f>
        <v>#REF!</v>
      </c>
      <c r="BJ8" s="107" t="e">
        <f>IF(Inspección!#REF!="SSO",$BJ$7,"")</f>
        <v>#REF!</v>
      </c>
      <c r="BK8" s="107" t="e">
        <f>IF(Inspección!#REF!="SSO",$BK$7,"")</f>
        <v>#REF!</v>
      </c>
      <c r="BL8" s="107" t="e">
        <f>IF(Inspección!#REF!="SSO",$BL$7,"")</f>
        <v>#REF!</v>
      </c>
      <c r="BM8" s="107" t="e">
        <f>IF(Inspección!#REF!="SSO",$BM$7,"")</f>
        <v>#REF!</v>
      </c>
      <c r="BN8" s="107" t="e">
        <f>IF(Inspección!#REF!="SSO",$BN$7,"")</f>
        <v>#REF!</v>
      </c>
      <c r="BO8" s="107" t="e">
        <f>IF(Inspección!#REF!="SSO",$BO$7,"")</f>
        <v>#REF!</v>
      </c>
      <c r="BP8" s="107" t="e">
        <f>IF(Inspección!#REF!="SSO",$BP$7,"")</f>
        <v>#REF!</v>
      </c>
      <c r="BQ8" s="107" t="e">
        <f>IF(Inspección!#REF!="SSO",$BQ$7,"")</f>
        <v>#REF!</v>
      </c>
      <c r="BR8" s="107" t="e">
        <f>IF(Inspección!#REF!="SSO",$BR$7,"")</f>
        <v>#REF!</v>
      </c>
      <c r="BS8" s="107" t="e">
        <f>IF(Inspección!#REF!="SSO",$BS$7,"")</f>
        <v>#REF!</v>
      </c>
      <c r="BT8" s="107" t="e">
        <f>IF(Inspección!#REF!="SSO",$BT$7,"")</f>
        <v>#REF!</v>
      </c>
      <c r="BU8" s="107" t="e">
        <f>IF(Inspección!#REF!="SSO",$BU$7,"")</f>
        <v>#REF!</v>
      </c>
      <c r="BV8" s="107" t="e">
        <f>IF(Inspección!#REF!="SSO",$BV$7,"")</f>
        <v>#REF!</v>
      </c>
      <c r="BW8" s="107" t="e">
        <f>IF(Inspección!#REF!="SSO",$BW$7,"")</f>
        <v>#REF!</v>
      </c>
      <c r="BX8" s="107" t="e">
        <f>IF(Inspección!#REF!="SSO",$BX$7,"")</f>
        <v>#REF!</v>
      </c>
      <c r="BY8" s="107" t="e">
        <f>IF(Inspección!#REF!="SSO",$BY$7,"")</f>
        <v>#REF!</v>
      </c>
      <c r="BZ8" s="107" t="e">
        <f>IF(Inspección!#REF!="SSO",$BZ$7,"")</f>
        <v>#REF!</v>
      </c>
      <c r="CA8" s="107" t="e">
        <f>IF(Inspección!#REF!="SSO",$CA$7,"")</f>
        <v>#REF!</v>
      </c>
    </row>
    <row r="9" spans="1:79" s="17" customFormat="1" x14ac:dyDescent="0.25"/>
    <row r="10" spans="1:79" s="18" customFormat="1" ht="15" customHeight="1" x14ac:dyDescent="0.2"/>
    <row r="11" spans="1:79" ht="15" x14ac:dyDescent="0.25">
      <c r="A11" s="110" t="s">
        <v>281</v>
      </c>
      <c r="B11" s="111"/>
      <c r="C11" s="110" t="s">
        <v>212</v>
      </c>
    </row>
    <row r="12" spans="1:79" ht="15" x14ac:dyDescent="0.25">
      <c r="A12" s="112" t="s">
        <v>213</v>
      </c>
      <c r="B12" s="111"/>
      <c r="C12" s="113" t="s">
        <v>214</v>
      </c>
    </row>
    <row r="13" spans="1:79" ht="15" x14ac:dyDescent="0.25">
      <c r="A13" s="112" t="s">
        <v>215</v>
      </c>
      <c r="B13" s="111"/>
      <c r="C13" s="113" t="s">
        <v>216</v>
      </c>
    </row>
    <row r="14" spans="1:79" ht="15" x14ac:dyDescent="0.25">
      <c r="A14" s="112" t="s">
        <v>217</v>
      </c>
      <c r="B14" s="111"/>
      <c r="C14" s="113" t="s">
        <v>218</v>
      </c>
    </row>
    <row r="15" spans="1:79" ht="15" x14ac:dyDescent="0.25">
      <c r="A15" s="112" t="s">
        <v>219</v>
      </c>
      <c r="B15" s="111"/>
      <c r="C15" s="113" t="s">
        <v>220</v>
      </c>
    </row>
    <row r="16" spans="1:79" ht="15" x14ac:dyDescent="0.25">
      <c r="A16" s="112" t="s">
        <v>221</v>
      </c>
      <c r="B16" s="111"/>
      <c r="C16" s="113" t="s">
        <v>222</v>
      </c>
    </row>
    <row r="17" spans="1:3" ht="15" x14ac:dyDescent="0.25">
      <c r="A17" s="111" t="s">
        <v>223</v>
      </c>
      <c r="B17" s="111"/>
      <c r="C17" s="113" t="s">
        <v>224</v>
      </c>
    </row>
    <row r="18" spans="1:3" ht="15" x14ac:dyDescent="0.25">
      <c r="A18" s="111" t="s">
        <v>225</v>
      </c>
      <c r="B18" s="111"/>
      <c r="C18" s="113" t="s">
        <v>226</v>
      </c>
    </row>
    <row r="19" spans="1:3" ht="15" x14ac:dyDescent="0.2">
      <c r="A19" s="112" t="s">
        <v>227</v>
      </c>
      <c r="B19" s="114"/>
      <c r="C19" s="113" t="s">
        <v>228</v>
      </c>
    </row>
    <row r="20" spans="1:3" ht="15" x14ac:dyDescent="0.25">
      <c r="A20" s="112" t="s">
        <v>229</v>
      </c>
      <c r="B20" s="111"/>
      <c r="C20" s="113" t="s">
        <v>230</v>
      </c>
    </row>
    <row r="21" spans="1:3" ht="15" x14ac:dyDescent="0.25">
      <c r="A21" s="112" t="s">
        <v>231</v>
      </c>
      <c r="B21" s="111"/>
      <c r="C21" s="113" t="s">
        <v>232</v>
      </c>
    </row>
    <row r="22" spans="1:3" ht="15" x14ac:dyDescent="0.25">
      <c r="A22" s="111" t="s">
        <v>233</v>
      </c>
      <c r="B22" s="111"/>
      <c r="C22" s="113" t="s">
        <v>234</v>
      </c>
    </row>
    <row r="23" spans="1:3" ht="15" x14ac:dyDescent="0.25">
      <c r="A23" s="111" t="s">
        <v>235</v>
      </c>
      <c r="B23" s="111"/>
      <c r="C23" s="113" t="s">
        <v>236</v>
      </c>
    </row>
    <row r="24" spans="1:3" ht="15" x14ac:dyDescent="0.25">
      <c r="A24" s="112" t="s">
        <v>237</v>
      </c>
      <c r="B24" s="111"/>
      <c r="C24" s="113" t="s">
        <v>238</v>
      </c>
    </row>
    <row r="25" spans="1:3" ht="15" x14ac:dyDescent="0.25">
      <c r="A25" s="112" t="s">
        <v>239</v>
      </c>
      <c r="B25" s="111"/>
      <c r="C25" s="113" t="s">
        <v>240</v>
      </c>
    </row>
    <row r="26" spans="1:3" ht="15" x14ac:dyDescent="0.25">
      <c r="A26" s="112" t="s">
        <v>241</v>
      </c>
      <c r="B26" s="111"/>
      <c r="C26" s="113" t="s">
        <v>242</v>
      </c>
    </row>
    <row r="27" spans="1:3" ht="15" x14ac:dyDescent="0.25">
      <c r="A27" s="112" t="s">
        <v>243</v>
      </c>
      <c r="B27" s="111"/>
      <c r="C27" s="113" t="s">
        <v>244</v>
      </c>
    </row>
    <row r="28" spans="1:3" ht="15" x14ac:dyDescent="0.25">
      <c r="A28" s="112" t="s">
        <v>245</v>
      </c>
      <c r="B28" s="111"/>
      <c r="C28" s="113" t="s">
        <v>246</v>
      </c>
    </row>
    <row r="29" spans="1:3" ht="15" x14ac:dyDescent="0.25">
      <c r="A29" s="111" t="s">
        <v>247</v>
      </c>
      <c r="B29" s="111"/>
      <c r="C29" s="113" t="s">
        <v>248</v>
      </c>
    </row>
    <row r="30" spans="1:3" ht="15" x14ac:dyDescent="0.25">
      <c r="A30" s="111" t="s">
        <v>249</v>
      </c>
      <c r="B30" s="111"/>
      <c r="C30" s="113" t="s">
        <v>250</v>
      </c>
    </row>
    <row r="31" spans="1:3" ht="15" x14ac:dyDescent="0.25">
      <c r="A31" s="112" t="s">
        <v>251</v>
      </c>
      <c r="B31" s="111"/>
      <c r="C31" s="111"/>
    </row>
    <row r="32" spans="1:3" ht="15" x14ac:dyDescent="0.25">
      <c r="A32" s="111" t="s">
        <v>252</v>
      </c>
      <c r="B32" s="111"/>
      <c r="C32" s="111"/>
    </row>
    <row r="33" spans="1:3" ht="15" x14ac:dyDescent="0.25">
      <c r="A33" s="112" t="s">
        <v>253</v>
      </c>
      <c r="B33" s="111"/>
      <c r="C33" s="111"/>
    </row>
    <row r="34" spans="1:3" ht="15" x14ac:dyDescent="0.25">
      <c r="A34" s="112" t="s">
        <v>254</v>
      </c>
      <c r="B34" s="111"/>
      <c r="C34" s="111"/>
    </row>
    <row r="35" spans="1:3" ht="15" x14ac:dyDescent="0.25">
      <c r="A35" s="111" t="s">
        <v>255</v>
      </c>
      <c r="B35" s="111"/>
      <c r="C35" s="111"/>
    </row>
    <row r="36" spans="1:3" ht="15" x14ac:dyDescent="0.25">
      <c r="A36" s="111" t="s">
        <v>256</v>
      </c>
      <c r="B36" s="111"/>
      <c r="C36" s="111"/>
    </row>
    <row r="37" spans="1:3" ht="15" x14ac:dyDescent="0.25">
      <c r="A37" s="112" t="s">
        <v>257</v>
      </c>
      <c r="B37" s="111"/>
      <c r="C37" s="111"/>
    </row>
    <row r="38" spans="1:3" ht="15" x14ac:dyDescent="0.25">
      <c r="A38" s="112" t="s">
        <v>258</v>
      </c>
      <c r="B38" s="111"/>
      <c r="C38" s="111"/>
    </row>
    <row r="39" spans="1:3" ht="15" x14ac:dyDescent="0.25">
      <c r="A39" s="115" t="s">
        <v>259</v>
      </c>
      <c r="B39" s="111"/>
      <c r="C39" s="111"/>
    </row>
    <row r="40" spans="1:3" ht="15" x14ac:dyDescent="0.25">
      <c r="A40" s="112" t="s">
        <v>260</v>
      </c>
      <c r="B40" s="111"/>
      <c r="C40" s="111"/>
    </row>
    <row r="41" spans="1:3" ht="15" x14ac:dyDescent="0.25">
      <c r="A41" s="112" t="s">
        <v>261</v>
      </c>
      <c r="B41" s="111"/>
      <c r="C41" s="111"/>
    </row>
    <row r="42" spans="1:3" ht="15" x14ac:dyDescent="0.25">
      <c r="A42" s="112" t="s">
        <v>262</v>
      </c>
      <c r="B42" s="111"/>
      <c r="C42" s="111"/>
    </row>
    <row r="43" spans="1:3" ht="15" x14ac:dyDescent="0.25">
      <c r="A43" s="111" t="s">
        <v>263</v>
      </c>
      <c r="B43" s="111"/>
      <c r="C43" s="111"/>
    </row>
    <row r="44" spans="1:3" ht="15" x14ac:dyDescent="0.25">
      <c r="A44" s="111" t="s">
        <v>264</v>
      </c>
      <c r="B44" s="111"/>
      <c r="C44" s="111"/>
    </row>
    <row r="45" spans="1:3" ht="15" x14ac:dyDescent="0.25">
      <c r="A45" s="112" t="s">
        <v>265</v>
      </c>
      <c r="B45" s="111"/>
      <c r="C45" s="111"/>
    </row>
    <row r="46" spans="1:3" ht="15" x14ac:dyDescent="0.25">
      <c r="A46" s="112" t="s">
        <v>266</v>
      </c>
      <c r="B46" s="111"/>
      <c r="C46" s="111"/>
    </row>
    <row r="47" spans="1:3" ht="15" x14ac:dyDescent="0.25">
      <c r="A47" s="112" t="s">
        <v>267</v>
      </c>
      <c r="B47" s="111"/>
      <c r="C47" s="111"/>
    </row>
    <row r="48" spans="1:3" ht="15" x14ac:dyDescent="0.25">
      <c r="A48" s="112" t="s">
        <v>268</v>
      </c>
      <c r="B48" s="111"/>
      <c r="C48" s="111"/>
    </row>
    <row r="49" spans="1:3" ht="15" x14ac:dyDescent="0.25">
      <c r="A49" s="111" t="s">
        <v>269</v>
      </c>
      <c r="B49" s="111"/>
      <c r="C49" s="111"/>
    </row>
    <row r="50" spans="1:3" ht="15" x14ac:dyDescent="0.25">
      <c r="A50" s="112" t="s">
        <v>270</v>
      </c>
      <c r="B50" s="111"/>
      <c r="C50" s="111"/>
    </row>
    <row r="51" spans="1:3" ht="15" x14ac:dyDescent="0.25">
      <c r="A51" s="111" t="s">
        <v>271</v>
      </c>
      <c r="B51" s="111"/>
      <c r="C51" s="111"/>
    </row>
    <row r="52" spans="1:3" ht="15" x14ac:dyDescent="0.25">
      <c r="A52" s="112" t="s">
        <v>272</v>
      </c>
      <c r="B52" s="111"/>
      <c r="C52" s="111"/>
    </row>
    <row r="53" spans="1:3" ht="15" x14ac:dyDescent="0.25">
      <c r="A53" s="111" t="s">
        <v>273</v>
      </c>
      <c r="B53" s="111"/>
      <c r="C53" s="111"/>
    </row>
    <row r="54" spans="1:3" ht="15" x14ac:dyDescent="0.25">
      <c r="A54" s="112" t="s">
        <v>274</v>
      </c>
      <c r="B54" s="111"/>
      <c r="C54" s="111"/>
    </row>
    <row r="55" spans="1:3" ht="15" x14ac:dyDescent="0.25">
      <c r="A55" s="112" t="s">
        <v>275</v>
      </c>
      <c r="B55" s="111"/>
      <c r="C55" s="111"/>
    </row>
    <row r="56" spans="1:3" ht="15" x14ac:dyDescent="0.25">
      <c r="A56" s="112" t="s">
        <v>276</v>
      </c>
      <c r="B56" s="111"/>
      <c r="C56" s="111"/>
    </row>
    <row r="57" spans="1:3" ht="15" x14ac:dyDescent="0.25">
      <c r="A57" s="111" t="s">
        <v>277</v>
      </c>
      <c r="B57" s="111"/>
      <c r="C57" s="111"/>
    </row>
    <row r="58" spans="1:3" ht="15" x14ac:dyDescent="0.25">
      <c r="A58" s="111" t="s">
        <v>278</v>
      </c>
      <c r="B58" s="111"/>
      <c r="C58" s="111"/>
    </row>
    <row r="59" spans="1:3" ht="15" x14ac:dyDescent="0.25">
      <c r="A59" s="112" t="s">
        <v>279</v>
      </c>
      <c r="B59" s="111"/>
      <c r="C59" s="111"/>
    </row>
    <row r="60" spans="1:3" ht="15" x14ac:dyDescent="0.25">
      <c r="A60" s="111" t="s">
        <v>280</v>
      </c>
      <c r="B60" s="111"/>
      <c r="C60" s="111"/>
    </row>
    <row r="61" spans="1:3" ht="15" x14ac:dyDescent="0.25">
      <c r="A61"/>
      <c r="B61"/>
      <c r="C61"/>
    </row>
    <row r="62" spans="1:3" ht="15" x14ac:dyDescent="0.25">
      <c r="A62"/>
      <c r="B62"/>
      <c r="C62"/>
    </row>
    <row r="63" spans="1:3" ht="15" x14ac:dyDescent="0.25">
      <c r="A63"/>
      <c r="B63"/>
      <c r="C63"/>
    </row>
    <row r="64" spans="1:3" ht="15" x14ac:dyDescent="0.25">
      <c r="A64"/>
      <c r="B64"/>
      <c r="C6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E406"/>
  <sheetViews>
    <sheetView showGridLines="0" tabSelected="1" zoomScaleNormal="100" zoomScaleSheetLayoutView="40" workbookViewId="0">
      <selection activeCell="Y14" sqref="Y14:AA14"/>
    </sheetView>
  </sheetViews>
  <sheetFormatPr defaultColWidth="11.42578125" defaultRowHeight="12.75" x14ac:dyDescent="0.2"/>
  <cols>
    <col min="1" max="1" width="1.7109375" style="1" customWidth="1"/>
    <col min="2" max="2" width="4.7109375" style="1" customWidth="1"/>
    <col min="3" max="3" width="6.42578125" style="1" customWidth="1"/>
    <col min="4" max="4" width="7.42578125" style="1" customWidth="1"/>
    <col min="5" max="5" width="12.28515625" style="1" customWidth="1"/>
    <col min="6" max="6" width="1.28515625" style="1" customWidth="1"/>
    <col min="7" max="7" width="2.5703125" style="1" customWidth="1"/>
    <col min="8" max="8" width="10.140625" style="1" customWidth="1"/>
    <col min="9" max="9" width="8" style="1" customWidth="1"/>
    <col min="10" max="10" width="10.7109375" style="1" customWidth="1"/>
    <col min="11" max="11" width="24" style="1" customWidth="1"/>
    <col min="12" max="12" width="4.7109375" style="1" customWidth="1"/>
    <col min="13" max="13" width="9.7109375" style="1" customWidth="1"/>
    <col min="14" max="14" width="8.28515625" style="1" customWidth="1"/>
    <col min="15" max="15" width="9" style="1" customWidth="1"/>
    <col min="16" max="16" width="7.7109375" style="1" customWidth="1"/>
    <col min="17" max="17" width="9.42578125" style="1" customWidth="1"/>
    <col min="18" max="18" width="11.7109375" style="1" customWidth="1"/>
    <col min="19" max="19" width="11" style="1" customWidth="1"/>
    <col min="20" max="20" width="12.7109375" style="1" customWidth="1"/>
    <col min="21" max="21" width="4" style="1" customWidth="1"/>
    <col min="22" max="22" width="12.7109375" style="1" customWidth="1"/>
    <col min="23" max="23" width="18.28515625" style="1" customWidth="1"/>
    <col min="24" max="24" width="13.7109375" style="1" customWidth="1"/>
    <col min="25" max="25" width="14.28515625" style="1" customWidth="1"/>
    <col min="26" max="26" width="12.28515625" style="1" customWidth="1"/>
    <col min="27" max="27" width="17.42578125" style="1" customWidth="1"/>
    <col min="28" max="28" width="18" style="1" customWidth="1"/>
    <col min="29" max="29" width="13.140625" style="1" customWidth="1"/>
    <col min="30" max="30" width="14.28515625" style="1" customWidth="1"/>
    <col min="31" max="31" width="1.28515625" style="1" customWidth="1"/>
    <col min="32" max="16384" width="11.42578125" style="1"/>
  </cols>
  <sheetData>
    <row r="1" spans="1:31" ht="20.65" customHeight="1" x14ac:dyDescent="0.2">
      <c r="A1" s="150"/>
      <c r="B1" s="151"/>
      <c r="C1" s="151"/>
      <c r="D1" s="151"/>
      <c r="E1" s="151"/>
      <c r="F1" s="151"/>
      <c r="G1" s="152"/>
      <c r="H1" s="199" t="s">
        <v>0</v>
      </c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1"/>
      <c r="AB1" s="129"/>
      <c r="AC1" s="130"/>
      <c r="AD1" s="130"/>
      <c r="AE1" s="131"/>
    </row>
    <row r="2" spans="1:31" ht="29.65" customHeight="1" x14ac:dyDescent="0.2">
      <c r="A2" s="153"/>
      <c r="B2" s="154"/>
      <c r="C2" s="154"/>
      <c r="D2" s="154"/>
      <c r="E2" s="154"/>
      <c r="F2" s="154"/>
      <c r="G2" s="155"/>
      <c r="H2" s="68" t="s">
        <v>31</v>
      </c>
      <c r="I2" s="202"/>
      <c r="J2" s="202"/>
      <c r="K2" s="202"/>
      <c r="L2" s="202"/>
      <c r="M2" s="202"/>
      <c r="N2" s="202"/>
      <c r="O2" s="203"/>
      <c r="P2" s="139" t="s">
        <v>4</v>
      </c>
      <c r="Q2" s="140"/>
      <c r="R2" s="161">
        <v>43831</v>
      </c>
      <c r="S2" s="161"/>
      <c r="T2" s="161"/>
      <c r="U2" s="161"/>
      <c r="V2" s="162"/>
      <c r="W2" s="123" t="s">
        <v>5</v>
      </c>
      <c r="X2" s="173" t="s">
        <v>208</v>
      </c>
      <c r="Y2" s="173"/>
      <c r="Z2" s="173"/>
      <c r="AA2" s="174"/>
      <c r="AB2" s="132"/>
      <c r="AC2" s="133"/>
      <c r="AD2" s="133"/>
      <c r="AE2" s="134"/>
    </row>
    <row r="3" spans="1:31" ht="19.149999999999999" customHeight="1" x14ac:dyDescent="0.2">
      <c r="A3" s="156"/>
      <c r="B3" s="157"/>
      <c r="C3" s="157"/>
      <c r="D3" s="157"/>
      <c r="E3" s="157"/>
      <c r="F3" s="157"/>
      <c r="G3" s="158"/>
      <c r="H3" s="68" t="s">
        <v>7</v>
      </c>
      <c r="I3" s="202"/>
      <c r="J3" s="202"/>
      <c r="K3" s="202"/>
      <c r="L3" s="202"/>
      <c r="M3" s="202"/>
      <c r="N3" s="202"/>
      <c r="O3" s="203"/>
      <c r="P3" s="204" t="s">
        <v>26</v>
      </c>
      <c r="Q3" s="205"/>
      <c r="R3" s="210">
        <v>1</v>
      </c>
      <c r="S3" s="210"/>
      <c r="T3" s="210"/>
      <c r="U3" s="210"/>
      <c r="V3" s="211"/>
      <c r="W3" s="208" t="s">
        <v>6</v>
      </c>
      <c r="X3" s="209"/>
      <c r="Y3" s="206">
        <v>43800</v>
      </c>
      <c r="Z3" s="206"/>
      <c r="AA3" s="207"/>
      <c r="AB3" s="135"/>
      <c r="AC3" s="136"/>
      <c r="AD3" s="136"/>
      <c r="AE3" s="137"/>
    </row>
    <row r="4" spans="1:31" ht="13.15" customHeight="1" x14ac:dyDescent="0.2">
      <c r="B4" s="69"/>
      <c r="C4" s="69"/>
      <c r="D4" s="69"/>
      <c r="E4" s="69"/>
      <c r="F4" s="70"/>
      <c r="G4" s="70"/>
      <c r="H4" s="70"/>
      <c r="I4" s="70"/>
      <c r="J4" s="70"/>
      <c r="K4" s="71"/>
      <c r="L4" s="71"/>
      <c r="M4" s="71"/>
      <c r="N4" s="71"/>
      <c r="O4" s="71"/>
      <c r="P4" s="71"/>
      <c r="Q4" s="71"/>
      <c r="R4" s="71"/>
      <c r="S4" s="72"/>
      <c r="T4" s="72"/>
      <c r="U4" s="72"/>
      <c r="V4" s="72"/>
      <c r="W4" s="72"/>
      <c r="X4" s="73"/>
      <c r="Y4" s="72"/>
      <c r="Z4" s="72"/>
      <c r="AA4" s="69"/>
      <c r="AB4" s="69"/>
      <c r="AC4" s="69"/>
      <c r="AD4" s="124"/>
      <c r="AE4" s="124"/>
    </row>
    <row r="5" spans="1:31" ht="15" customHeight="1" x14ac:dyDescent="0.2">
      <c r="A5" s="168" t="s">
        <v>15</v>
      </c>
      <c r="B5" s="169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70"/>
    </row>
    <row r="6" spans="1:31" ht="7.5" customHeight="1" x14ac:dyDescent="0.2">
      <c r="A6" s="74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6"/>
    </row>
    <row r="7" spans="1:31" ht="25.9" customHeight="1" x14ac:dyDescent="0.2">
      <c r="A7" s="74"/>
      <c r="B7" s="179" t="s">
        <v>16</v>
      </c>
      <c r="C7" s="179"/>
      <c r="D7" s="179"/>
      <c r="E7" s="179"/>
      <c r="F7" s="179"/>
      <c r="G7" s="180"/>
      <c r="H7" s="187" t="s">
        <v>17</v>
      </c>
      <c r="I7" s="188"/>
      <c r="J7" s="189"/>
      <c r="K7" s="119" t="s">
        <v>18</v>
      </c>
      <c r="L7" s="187">
        <v>20508972734</v>
      </c>
      <c r="M7" s="188"/>
      <c r="N7" s="189"/>
      <c r="O7" s="178" t="s">
        <v>19</v>
      </c>
      <c r="P7" s="179"/>
      <c r="Q7" s="180"/>
      <c r="R7" s="175" t="s">
        <v>20</v>
      </c>
      <c r="S7" s="176"/>
      <c r="T7" s="176"/>
      <c r="U7" s="176"/>
      <c r="V7" s="177"/>
      <c r="W7" s="77"/>
      <c r="X7" s="120" t="s">
        <v>21</v>
      </c>
      <c r="Y7" s="175"/>
      <c r="Z7" s="176"/>
      <c r="AA7" s="176"/>
      <c r="AB7" s="176"/>
      <c r="AC7" s="176"/>
      <c r="AD7" s="177"/>
      <c r="AE7" s="78"/>
    </row>
    <row r="8" spans="1:31" ht="7.5" customHeight="1" x14ac:dyDescent="0.2">
      <c r="A8" s="79"/>
      <c r="B8" s="80"/>
      <c r="C8" s="80"/>
      <c r="D8" s="80"/>
      <c r="E8" s="80"/>
      <c r="F8" s="81"/>
      <c r="G8" s="81"/>
      <c r="H8" s="81"/>
      <c r="I8" s="81"/>
      <c r="J8" s="80"/>
      <c r="K8" s="81"/>
      <c r="L8" s="81"/>
      <c r="M8" s="81"/>
      <c r="N8" s="80"/>
      <c r="O8" s="80"/>
      <c r="P8" s="80"/>
      <c r="Q8" s="80"/>
      <c r="R8" s="82"/>
      <c r="S8" s="82"/>
      <c r="T8" s="82"/>
      <c r="U8" s="82"/>
      <c r="V8" s="82"/>
      <c r="W8" s="82"/>
      <c r="X8" s="80"/>
      <c r="Y8" s="82"/>
      <c r="Z8" s="82"/>
      <c r="AA8" s="82"/>
      <c r="AB8" s="82"/>
      <c r="AC8" s="82"/>
      <c r="AD8" s="83"/>
      <c r="AE8" s="84"/>
    </row>
    <row r="9" spans="1:31" ht="13.15" customHeight="1" x14ac:dyDescent="0.2">
      <c r="B9" s="85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</row>
    <row r="10" spans="1:31" ht="15" customHeight="1" x14ac:dyDescent="0.2">
      <c r="A10" s="168" t="s">
        <v>22</v>
      </c>
      <c r="B10" s="169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  <c r="AA10" s="169"/>
      <c r="AB10" s="169"/>
      <c r="AC10" s="169"/>
      <c r="AD10" s="169"/>
      <c r="AE10" s="170"/>
    </row>
    <row r="11" spans="1:31" ht="7.5" customHeight="1" x14ac:dyDescent="0.2">
      <c r="A11" s="87"/>
      <c r="B11" s="88"/>
      <c r="C11" s="88"/>
      <c r="D11" s="88"/>
      <c r="E11" s="88"/>
      <c r="F11" s="88"/>
      <c r="G11" s="88"/>
      <c r="H11" s="75"/>
      <c r="I11" s="75"/>
      <c r="J11" s="75"/>
      <c r="N11" s="89"/>
      <c r="O11" s="89"/>
      <c r="P11" s="89"/>
      <c r="Q11" s="89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6"/>
    </row>
    <row r="12" spans="1:31" ht="37.15" customHeight="1" x14ac:dyDescent="0.2">
      <c r="A12" s="74"/>
      <c r="B12" s="163" t="s">
        <v>287</v>
      </c>
      <c r="C12" s="163"/>
      <c r="D12" s="163"/>
      <c r="E12" s="163"/>
      <c r="F12" s="163"/>
      <c r="G12" s="164"/>
      <c r="H12" s="181"/>
      <c r="I12" s="185"/>
      <c r="J12" s="185"/>
      <c r="K12" s="185"/>
      <c r="L12" s="182"/>
      <c r="M12" s="190" t="s">
        <v>288</v>
      </c>
      <c r="N12" s="147"/>
      <c r="O12" s="148"/>
      <c r="P12" s="171"/>
      <c r="Q12" s="149"/>
      <c r="R12" s="149"/>
      <c r="S12" s="149"/>
      <c r="T12" s="172"/>
      <c r="U12" s="165" t="s">
        <v>210</v>
      </c>
      <c r="V12" s="166"/>
      <c r="W12" s="166"/>
      <c r="X12" s="167"/>
      <c r="Y12" s="183"/>
      <c r="Z12" s="186"/>
      <c r="AA12" s="186"/>
      <c r="AB12" s="186"/>
      <c r="AC12" s="186"/>
      <c r="AD12" s="184"/>
      <c r="AE12" s="90"/>
    </row>
    <row r="13" spans="1:31" ht="5.0999999999999996" customHeight="1" x14ac:dyDescent="0.2">
      <c r="A13" s="74"/>
      <c r="B13" s="91"/>
      <c r="C13" s="91"/>
      <c r="D13" s="91"/>
      <c r="E13" s="91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92"/>
      <c r="T13" s="92"/>
      <c r="U13" s="92"/>
      <c r="V13" s="92"/>
      <c r="W13" s="92"/>
      <c r="X13" s="93"/>
      <c r="Y13" s="86"/>
      <c r="Z13" s="86"/>
      <c r="AA13" s="86"/>
      <c r="AB13" s="86"/>
      <c r="AC13" s="86"/>
      <c r="AD13" s="86"/>
      <c r="AE13" s="94"/>
    </row>
    <row r="14" spans="1:31" x14ac:dyDescent="0.2">
      <c r="A14" s="74"/>
      <c r="B14" s="163" t="s">
        <v>23</v>
      </c>
      <c r="C14" s="163"/>
      <c r="D14" s="163"/>
      <c r="E14" s="163"/>
      <c r="F14" s="163"/>
      <c r="G14" s="164"/>
      <c r="H14" s="183"/>
      <c r="I14" s="186"/>
      <c r="J14" s="186"/>
      <c r="K14" s="186"/>
      <c r="L14" s="184"/>
      <c r="M14" s="86"/>
      <c r="N14" s="86"/>
      <c r="O14" s="85" t="s">
        <v>24</v>
      </c>
      <c r="P14" s="181"/>
      <c r="Q14" s="182"/>
      <c r="R14" s="122" t="s">
        <v>25</v>
      </c>
      <c r="S14" s="183"/>
      <c r="T14" s="184"/>
      <c r="U14" s="121"/>
      <c r="V14" s="147" t="s">
        <v>14</v>
      </c>
      <c r="W14" s="147"/>
      <c r="X14" s="147"/>
      <c r="Y14" s="224"/>
      <c r="Z14" s="224"/>
      <c r="AA14" s="224"/>
      <c r="AB14" s="138"/>
      <c r="AC14" s="138"/>
      <c r="AD14" s="138"/>
      <c r="AE14" s="95"/>
    </row>
    <row r="15" spans="1:31" x14ac:dyDescent="0.2">
      <c r="A15" s="74"/>
      <c r="B15" s="91"/>
      <c r="C15" s="91"/>
      <c r="D15" s="91"/>
      <c r="E15" s="91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7"/>
    </row>
    <row r="16" spans="1:31" ht="46.9" customHeight="1" x14ac:dyDescent="0.2">
      <c r="A16" s="74"/>
      <c r="B16" s="163" t="s">
        <v>286</v>
      </c>
      <c r="C16" s="163"/>
      <c r="D16" s="163"/>
      <c r="E16" s="163"/>
      <c r="F16" s="163"/>
      <c r="G16" s="164"/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96"/>
      <c r="T16" s="145" t="s">
        <v>285</v>
      </c>
      <c r="U16" s="145"/>
      <c r="V16" s="145"/>
      <c r="W16" s="145"/>
      <c r="X16" s="146"/>
      <c r="Y16" s="139"/>
      <c r="Z16" s="140"/>
      <c r="AA16" s="140"/>
      <c r="AB16" s="140"/>
      <c r="AC16" s="140"/>
      <c r="AD16" s="141"/>
      <c r="AE16" s="97"/>
    </row>
    <row r="17" spans="1:31" x14ac:dyDescent="0.2">
      <c r="A17" s="74"/>
      <c r="B17" s="91"/>
      <c r="C17" s="91"/>
      <c r="D17" s="91"/>
      <c r="E17" s="91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2"/>
      <c r="T17" s="92"/>
      <c r="U17" s="92"/>
      <c r="V17" s="92"/>
      <c r="W17" s="92"/>
      <c r="X17" s="86"/>
      <c r="Y17" s="125"/>
      <c r="Z17" s="125"/>
      <c r="AA17" s="125"/>
      <c r="AB17" s="125"/>
      <c r="AC17" s="125"/>
      <c r="AD17" s="125"/>
      <c r="AE17" s="97"/>
    </row>
    <row r="18" spans="1:31" ht="48.75" customHeight="1" x14ac:dyDescent="0.2">
      <c r="A18" s="74"/>
      <c r="B18" s="163" t="s">
        <v>13</v>
      </c>
      <c r="C18" s="163"/>
      <c r="D18" s="163"/>
      <c r="E18" s="163"/>
      <c r="F18" s="163"/>
      <c r="G18" s="164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T18" s="147" t="s">
        <v>292</v>
      </c>
      <c r="U18" s="147"/>
      <c r="V18" s="147"/>
      <c r="W18" s="147"/>
      <c r="X18" s="148"/>
      <c r="Y18" s="171"/>
      <c r="Z18" s="149"/>
      <c r="AA18" s="149"/>
      <c r="AB18" s="149"/>
      <c r="AC18" s="149"/>
      <c r="AD18" s="172"/>
      <c r="AE18" s="98"/>
    </row>
    <row r="19" spans="1:31" ht="5.0999999999999996" customHeight="1" x14ac:dyDescent="0.2">
      <c r="A19" s="74"/>
      <c r="B19" s="91"/>
      <c r="C19" s="91"/>
      <c r="D19" s="91"/>
      <c r="E19" s="91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92"/>
      <c r="T19" s="92"/>
      <c r="U19" s="92"/>
      <c r="V19" s="92"/>
      <c r="W19" s="92"/>
      <c r="X19" s="86"/>
      <c r="Y19" s="86"/>
      <c r="Z19" s="86"/>
      <c r="AA19" s="86"/>
      <c r="AB19" s="86"/>
      <c r="AC19" s="86"/>
      <c r="AD19" s="86"/>
      <c r="AE19" s="94"/>
    </row>
    <row r="20" spans="1:31" ht="25.5" customHeight="1" x14ac:dyDescent="0.2">
      <c r="A20" s="74"/>
      <c r="B20" s="163" t="s">
        <v>27</v>
      </c>
      <c r="C20" s="163"/>
      <c r="D20" s="163"/>
      <c r="E20" s="163"/>
      <c r="F20" s="163"/>
      <c r="G20" s="164"/>
      <c r="H20" s="191"/>
      <c r="I20" s="192"/>
      <c r="J20" s="192"/>
      <c r="K20" s="192"/>
      <c r="L20" s="192"/>
      <c r="M20" s="192"/>
      <c r="N20" s="192"/>
      <c r="O20" s="192"/>
      <c r="P20" s="192"/>
      <c r="Q20" s="192"/>
      <c r="R20" s="192"/>
      <c r="S20" s="192"/>
      <c r="T20" s="192"/>
      <c r="U20" s="192"/>
      <c r="V20" s="192"/>
      <c r="W20" s="192"/>
      <c r="X20" s="192"/>
      <c r="Y20" s="192"/>
      <c r="Z20" s="192"/>
      <c r="AA20" s="192"/>
      <c r="AB20" s="192"/>
      <c r="AC20" s="192"/>
      <c r="AD20" s="193"/>
      <c r="AE20" s="99"/>
    </row>
    <row r="21" spans="1:31" ht="5.0999999999999996" customHeight="1" x14ac:dyDescent="0.2">
      <c r="A21" s="74"/>
      <c r="B21" s="118"/>
      <c r="C21" s="118"/>
      <c r="D21" s="118"/>
      <c r="E21" s="118"/>
      <c r="F21" s="118"/>
      <c r="G21" s="118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26"/>
      <c r="T21" s="126"/>
      <c r="U21" s="126"/>
      <c r="V21" s="126"/>
      <c r="W21" s="126"/>
      <c r="X21" s="101"/>
      <c r="Y21" s="101"/>
      <c r="Z21" s="101"/>
      <c r="AA21" s="101"/>
      <c r="AB21" s="101"/>
      <c r="AC21" s="101"/>
      <c r="AD21" s="101"/>
      <c r="AE21" s="99"/>
    </row>
    <row r="22" spans="1:31" ht="25.5" customHeight="1" x14ac:dyDescent="0.2">
      <c r="A22" s="74"/>
      <c r="B22" s="163" t="s">
        <v>282</v>
      </c>
      <c r="C22" s="163"/>
      <c r="D22" s="163"/>
      <c r="E22" s="163"/>
      <c r="F22" s="163"/>
      <c r="G22" s="164"/>
      <c r="H22" s="159" t="s">
        <v>289</v>
      </c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27"/>
      <c r="T22" s="127"/>
      <c r="U22" s="127"/>
      <c r="V22" s="127"/>
      <c r="W22" s="85" t="s">
        <v>290</v>
      </c>
      <c r="X22" s="198"/>
      <c r="Y22" s="198"/>
      <c r="Z22" s="198"/>
      <c r="AA22" s="198"/>
      <c r="AB22" s="198"/>
      <c r="AC22" s="198"/>
      <c r="AD22" s="198"/>
      <c r="AE22" s="99"/>
    </row>
    <row r="23" spans="1:31" ht="7.5" customHeight="1" x14ac:dyDescent="0.2">
      <c r="A23" s="79"/>
      <c r="B23" s="100"/>
      <c r="C23" s="100"/>
      <c r="D23" s="100"/>
      <c r="E23" s="100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2"/>
    </row>
    <row r="24" spans="1:31" ht="13.15" customHeight="1" x14ac:dyDescent="0.2">
      <c r="D24" s="117"/>
      <c r="E24" s="117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</row>
    <row r="25" spans="1:31" ht="12.75" customHeight="1" x14ac:dyDescent="0.2">
      <c r="A25" s="168" t="s">
        <v>29</v>
      </c>
      <c r="B25" s="169"/>
      <c r="C25" s="169"/>
      <c r="D25" s="169"/>
      <c r="E25" s="169"/>
      <c r="F25" s="169"/>
      <c r="G25" s="169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4"/>
    </row>
    <row r="26" spans="1:31" ht="3.75" customHeight="1" x14ac:dyDescent="0.2">
      <c r="A26" s="195"/>
      <c r="B26" s="196"/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  <c r="AA26" s="196"/>
      <c r="AB26" s="196"/>
      <c r="AC26" s="196"/>
      <c r="AD26" s="196"/>
      <c r="AE26" s="197"/>
    </row>
    <row r="27" spans="1:31" ht="52.9" customHeight="1" x14ac:dyDescent="0.2">
      <c r="A27" s="142" t="s">
        <v>1</v>
      </c>
      <c r="B27" s="144"/>
      <c r="C27" s="105" t="s">
        <v>8</v>
      </c>
      <c r="D27" s="142" t="s">
        <v>9</v>
      </c>
      <c r="E27" s="143"/>
      <c r="F27" s="143"/>
      <c r="G27" s="143"/>
      <c r="H27" s="143"/>
      <c r="I27" s="144"/>
      <c r="J27" s="142" t="s">
        <v>10</v>
      </c>
      <c r="K27" s="143"/>
      <c r="L27" s="142" t="s">
        <v>28</v>
      </c>
      <c r="M27" s="143"/>
      <c r="N27" s="144"/>
      <c r="O27" s="142" t="s">
        <v>284</v>
      </c>
      <c r="P27" s="143"/>
      <c r="Q27" s="144"/>
      <c r="R27" s="105" t="s">
        <v>2</v>
      </c>
      <c r="S27" s="142" t="s">
        <v>283</v>
      </c>
      <c r="T27" s="143"/>
      <c r="U27" s="143"/>
      <c r="V27" s="143"/>
      <c r="W27" s="105" t="s">
        <v>11</v>
      </c>
      <c r="X27" s="105" t="s">
        <v>3</v>
      </c>
      <c r="Y27" s="142" t="s">
        <v>12</v>
      </c>
      <c r="Z27" s="143"/>
      <c r="AA27" s="143"/>
      <c r="AB27" s="144"/>
      <c r="AC27" s="128" t="s">
        <v>30</v>
      </c>
      <c r="AD27" s="194" t="s">
        <v>291</v>
      </c>
      <c r="AE27" s="194"/>
    </row>
    <row r="28" spans="1:31" ht="13.15" customHeight="1" x14ac:dyDescent="0.2">
      <c r="A28" s="116"/>
      <c r="B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S28" s="116"/>
      <c r="T28" s="116"/>
      <c r="U28" s="116"/>
      <c r="V28" s="116"/>
      <c r="W28" s="116"/>
      <c r="Z28" s="116"/>
      <c r="AA28" s="116"/>
      <c r="AB28" s="116"/>
      <c r="AC28" s="116"/>
      <c r="AD28" s="116"/>
      <c r="AE28" s="116"/>
    </row>
    <row r="29" spans="1:31" ht="13.15" customHeight="1" x14ac:dyDescent="0.2">
      <c r="A29" s="116"/>
      <c r="B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S29" s="116"/>
      <c r="T29" s="116"/>
      <c r="U29" s="116"/>
      <c r="V29" s="116"/>
      <c r="W29" s="116"/>
      <c r="Z29" s="116"/>
      <c r="AA29" s="116"/>
      <c r="AB29" s="116"/>
      <c r="AC29" s="116"/>
      <c r="AD29" s="116"/>
      <c r="AE29" s="116"/>
    </row>
    <row r="30" spans="1:31" ht="13.15" customHeight="1" x14ac:dyDescent="0.2">
      <c r="A30" s="116"/>
      <c r="B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S30" s="116"/>
      <c r="T30" s="116"/>
      <c r="U30" s="116"/>
      <c r="V30" s="116"/>
      <c r="W30" s="116"/>
      <c r="Z30" s="116"/>
      <c r="AA30" s="116"/>
      <c r="AB30" s="116"/>
      <c r="AC30" s="116"/>
      <c r="AD30" s="116"/>
      <c r="AE30" s="116"/>
    </row>
    <row r="31" spans="1:31" ht="13.15" customHeight="1" x14ac:dyDescent="0.2">
      <c r="A31" s="116"/>
      <c r="B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S31" s="116"/>
      <c r="T31" s="116"/>
      <c r="U31" s="116"/>
      <c r="V31" s="116"/>
      <c r="W31" s="116"/>
      <c r="Z31" s="116"/>
      <c r="AA31" s="116"/>
      <c r="AB31" s="116"/>
      <c r="AC31" s="116"/>
      <c r="AD31" s="116"/>
      <c r="AE31" s="116"/>
    </row>
    <row r="32" spans="1:31" x14ac:dyDescent="0.2">
      <c r="A32" s="116"/>
      <c r="B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S32" s="116"/>
      <c r="T32" s="116"/>
      <c r="U32" s="116"/>
      <c r="V32" s="116"/>
      <c r="W32" s="116"/>
      <c r="Z32" s="116"/>
      <c r="AA32" s="116"/>
      <c r="AB32" s="116"/>
      <c r="AC32" s="116"/>
      <c r="AD32" s="116"/>
      <c r="AE32" s="116"/>
    </row>
    <row r="33" spans="1:31" x14ac:dyDescent="0.2">
      <c r="A33" s="116"/>
      <c r="B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S33" s="116"/>
      <c r="T33" s="116"/>
      <c r="U33" s="116"/>
      <c r="V33" s="116"/>
      <c r="W33" s="116"/>
      <c r="Z33" s="116"/>
      <c r="AA33" s="116"/>
      <c r="AB33" s="116"/>
      <c r="AC33" s="116"/>
      <c r="AD33" s="116"/>
      <c r="AE33" s="116"/>
    </row>
    <row r="34" spans="1:31" x14ac:dyDescent="0.2">
      <c r="A34" s="116"/>
      <c r="B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S34" s="116"/>
      <c r="T34" s="116"/>
      <c r="U34" s="116"/>
      <c r="V34" s="116"/>
      <c r="W34" s="116"/>
      <c r="Z34" s="116"/>
      <c r="AA34" s="116"/>
      <c r="AB34" s="116"/>
      <c r="AC34" s="116"/>
      <c r="AD34" s="116"/>
      <c r="AE34" s="116"/>
    </row>
    <row r="35" spans="1:31" x14ac:dyDescent="0.2">
      <c r="A35" s="116"/>
      <c r="B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S35" s="116"/>
      <c r="T35" s="116"/>
      <c r="U35" s="116"/>
      <c r="V35" s="116"/>
      <c r="W35" s="116"/>
      <c r="Z35" s="116"/>
      <c r="AA35" s="116"/>
      <c r="AB35" s="116"/>
      <c r="AC35" s="116"/>
      <c r="AD35" s="116"/>
      <c r="AE35" s="116"/>
    </row>
    <row r="36" spans="1:31" x14ac:dyDescent="0.2">
      <c r="A36" s="116"/>
      <c r="B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S36" s="116"/>
      <c r="T36" s="116"/>
      <c r="U36" s="116"/>
      <c r="V36" s="116"/>
      <c r="W36" s="116"/>
      <c r="Z36" s="116"/>
      <c r="AA36" s="116"/>
      <c r="AB36" s="116"/>
      <c r="AC36" s="116"/>
      <c r="AD36" s="116"/>
      <c r="AE36" s="116"/>
    </row>
    <row r="37" spans="1:31" x14ac:dyDescent="0.2">
      <c r="A37" s="116"/>
      <c r="B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S37" s="116"/>
      <c r="T37" s="116"/>
      <c r="U37" s="116"/>
      <c r="V37" s="116"/>
      <c r="W37" s="116"/>
      <c r="Z37" s="116"/>
      <c r="AA37" s="116"/>
      <c r="AB37" s="116"/>
      <c r="AC37" s="116"/>
      <c r="AD37" s="116"/>
      <c r="AE37" s="116"/>
    </row>
    <row r="38" spans="1:31" x14ac:dyDescent="0.2">
      <c r="A38" s="116"/>
      <c r="B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S38" s="116"/>
      <c r="T38" s="116"/>
      <c r="U38" s="116"/>
      <c r="V38" s="116"/>
      <c r="W38" s="116"/>
      <c r="Z38" s="116"/>
      <c r="AA38" s="116"/>
      <c r="AB38" s="116"/>
      <c r="AC38" s="116"/>
      <c r="AD38" s="116"/>
      <c r="AE38" s="116"/>
    </row>
    <row r="39" spans="1:31" x14ac:dyDescent="0.2">
      <c r="A39" s="116"/>
      <c r="B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S39" s="116"/>
      <c r="T39" s="116"/>
      <c r="U39" s="116"/>
      <c r="V39" s="116"/>
      <c r="W39" s="116"/>
      <c r="Z39" s="116"/>
      <c r="AA39" s="116"/>
      <c r="AB39" s="116"/>
      <c r="AC39" s="116"/>
      <c r="AD39" s="116"/>
      <c r="AE39" s="116"/>
    </row>
    <row r="40" spans="1:31" x14ac:dyDescent="0.2">
      <c r="A40" s="116"/>
      <c r="B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S40" s="116"/>
      <c r="T40" s="116"/>
      <c r="U40" s="116"/>
      <c r="V40" s="116"/>
      <c r="W40" s="116"/>
      <c r="Z40" s="116"/>
      <c r="AA40" s="116"/>
      <c r="AB40" s="116"/>
      <c r="AC40" s="116"/>
      <c r="AD40" s="116"/>
      <c r="AE40" s="116"/>
    </row>
    <row r="41" spans="1:31" x14ac:dyDescent="0.2">
      <c r="A41" s="116"/>
      <c r="B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S41" s="116"/>
      <c r="T41" s="116"/>
      <c r="U41" s="116"/>
      <c r="V41" s="116"/>
      <c r="W41" s="116"/>
      <c r="Z41" s="116"/>
      <c r="AA41" s="116"/>
      <c r="AB41" s="116"/>
      <c r="AC41" s="116"/>
      <c r="AD41" s="116"/>
      <c r="AE41" s="116"/>
    </row>
    <row r="42" spans="1:31" x14ac:dyDescent="0.2">
      <c r="A42" s="116"/>
      <c r="B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S42" s="116"/>
      <c r="T42" s="116"/>
      <c r="U42" s="116"/>
      <c r="V42" s="116"/>
      <c r="W42" s="116"/>
      <c r="Z42" s="116"/>
      <c r="AA42" s="116"/>
      <c r="AB42" s="116"/>
      <c r="AC42" s="116"/>
      <c r="AD42" s="116"/>
      <c r="AE42" s="116"/>
    </row>
    <row r="43" spans="1:31" x14ac:dyDescent="0.2">
      <c r="A43" s="116"/>
      <c r="B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S43" s="116"/>
      <c r="T43" s="116"/>
      <c r="U43" s="116"/>
      <c r="V43" s="116"/>
      <c r="W43" s="116"/>
      <c r="Z43" s="116"/>
      <c r="AA43" s="116"/>
      <c r="AB43" s="116"/>
      <c r="AC43" s="116"/>
      <c r="AD43" s="116"/>
      <c r="AE43" s="116"/>
    </row>
    <row r="44" spans="1:31" x14ac:dyDescent="0.2">
      <c r="A44" s="116"/>
      <c r="B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S44" s="116"/>
      <c r="T44" s="116"/>
      <c r="U44" s="116"/>
      <c r="V44" s="116"/>
      <c r="W44" s="116"/>
      <c r="Z44" s="116"/>
      <c r="AA44" s="116"/>
      <c r="AB44" s="116"/>
      <c r="AC44" s="116"/>
      <c r="AD44" s="116"/>
      <c r="AE44" s="116"/>
    </row>
    <row r="45" spans="1:31" x14ac:dyDescent="0.2">
      <c r="A45" s="116"/>
      <c r="B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S45" s="116"/>
      <c r="T45" s="116"/>
      <c r="U45" s="116"/>
      <c r="V45" s="116"/>
      <c r="W45" s="116"/>
      <c r="Z45" s="116"/>
      <c r="AA45" s="116"/>
      <c r="AB45" s="116"/>
      <c r="AC45" s="116"/>
      <c r="AD45" s="116"/>
      <c r="AE45" s="116"/>
    </row>
    <row r="46" spans="1:31" x14ac:dyDescent="0.2">
      <c r="A46" s="116"/>
      <c r="B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S46" s="116"/>
      <c r="T46" s="116"/>
      <c r="U46" s="116"/>
      <c r="V46" s="116"/>
      <c r="W46" s="116"/>
      <c r="Z46" s="116"/>
      <c r="AA46" s="116"/>
      <c r="AB46" s="116"/>
      <c r="AC46" s="116"/>
      <c r="AD46" s="116"/>
      <c r="AE46" s="116"/>
    </row>
    <row r="47" spans="1:31" x14ac:dyDescent="0.2">
      <c r="A47" s="116"/>
      <c r="B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S47" s="116"/>
      <c r="T47" s="116"/>
      <c r="U47" s="116"/>
      <c r="V47" s="116"/>
      <c r="W47" s="116"/>
      <c r="Z47" s="116"/>
      <c r="AA47" s="116"/>
      <c r="AB47" s="116"/>
      <c r="AC47" s="116"/>
      <c r="AD47" s="116"/>
      <c r="AE47" s="116"/>
    </row>
    <row r="48" spans="1:31" x14ac:dyDescent="0.2">
      <c r="A48" s="116"/>
      <c r="B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S48" s="116"/>
      <c r="T48" s="116"/>
      <c r="U48" s="116"/>
      <c r="V48" s="116"/>
      <c r="W48" s="116"/>
      <c r="Z48" s="116"/>
      <c r="AA48" s="116"/>
      <c r="AB48" s="116"/>
      <c r="AC48" s="116"/>
      <c r="AD48" s="116"/>
      <c r="AE48" s="116"/>
    </row>
    <row r="49" spans="1:31" x14ac:dyDescent="0.2">
      <c r="A49" s="116"/>
      <c r="B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S49" s="116"/>
      <c r="T49" s="116"/>
      <c r="U49" s="116"/>
      <c r="V49" s="116"/>
      <c r="W49" s="116"/>
      <c r="Z49" s="116"/>
      <c r="AA49" s="116"/>
      <c r="AB49" s="116"/>
      <c r="AC49" s="116"/>
      <c r="AD49" s="116"/>
      <c r="AE49" s="116"/>
    </row>
    <row r="50" spans="1:31" x14ac:dyDescent="0.2">
      <c r="A50" s="116"/>
      <c r="B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S50" s="116"/>
      <c r="T50" s="116"/>
      <c r="U50" s="116"/>
      <c r="V50" s="116"/>
      <c r="W50" s="116"/>
      <c r="Z50" s="116"/>
      <c r="AA50" s="116"/>
      <c r="AB50" s="116"/>
      <c r="AC50" s="116"/>
      <c r="AD50" s="116"/>
      <c r="AE50" s="116"/>
    </row>
    <row r="51" spans="1:31" x14ac:dyDescent="0.2">
      <c r="A51" s="116"/>
      <c r="B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S51" s="116"/>
      <c r="T51" s="116"/>
      <c r="U51" s="116"/>
      <c r="V51" s="116"/>
      <c r="W51" s="116"/>
      <c r="Z51" s="116"/>
      <c r="AA51" s="116"/>
      <c r="AB51" s="116"/>
      <c r="AC51" s="116"/>
      <c r="AD51" s="116"/>
      <c r="AE51" s="116"/>
    </row>
    <row r="52" spans="1:31" x14ac:dyDescent="0.2">
      <c r="A52" s="116"/>
      <c r="B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S52" s="116"/>
      <c r="T52" s="116"/>
      <c r="U52" s="116"/>
      <c r="V52" s="116"/>
      <c r="W52" s="116"/>
      <c r="Z52" s="116"/>
      <c r="AA52" s="116"/>
      <c r="AB52" s="116"/>
      <c r="AC52" s="116"/>
      <c r="AD52" s="116"/>
      <c r="AE52" s="116"/>
    </row>
    <row r="53" spans="1:31" x14ac:dyDescent="0.2">
      <c r="A53" s="116"/>
      <c r="B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S53" s="116"/>
      <c r="T53" s="116"/>
      <c r="U53" s="116"/>
      <c r="V53" s="116"/>
      <c r="W53" s="116"/>
      <c r="Z53" s="116"/>
      <c r="AA53" s="116"/>
      <c r="AB53" s="116"/>
      <c r="AC53" s="116"/>
      <c r="AD53" s="116"/>
      <c r="AE53" s="116"/>
    </row>
    <row r="54" spans="1:31" x14ac:dyDescent="0.2">
      <c r="A54" s="116"/>
      <c r="B54" s="116"/>
    </row>
    <row r="55" spans="1:31" x14ac:dyDescent="0.2">
      <c r="A55" s="116"/>
      <c r="B55" s="116"/>
    </row>
    <row r="56" spans="1:31" x14ac:dyDescent="0.2">
      <c r="A56" s="116"/>
      <c r="B56" s="116"/>
    </row>
    <row r="57" spans="1:31" x14ac:dyDescent="0.2">
      <c r="A57" s="116"/>
      <c r="B57" s="116"/>
    </row>
    <row r="58" spans="1:31" x14ac:dyDescent="0.2">
      <c r="A58" s="116"/>
      <c r="B58" s="116"/>
    </row>
    <row r="59" spans="1:31" x14ac:dyDescent="0.2">
      <c r="A59" s="116"/>
      <c r="B59" s="116"/>
    </row>
    <row r="60" spans="1:31" x14ac:dyDescent="0.2">
      <c r="A60" s="116"/>
      <c r="B60" s="116"/>
    </row>
    <row r="61" spans="1:31" x14ac:dyDescent="0.2">
      <c r="A61" s="116"/>
      <c r="B61" s="116"/>
    </row>
    <row r="62" spans="1:31" x14ac:dyDescent="0.2">
      <c r="A62" s="116"/>
      <c r="B62" s="116"/>
    </row>
    <row r="63" spans="1:31" x14ac:dyDescent="0.2">
      <c r="A63" s="116"/>
      <c r="B63" s="116"/>
    </row>
    <row r="64" spans="1:31" x14ac:dyDescent="0.2">
      <c r="A64" s="116"/>
      <c r="B64" s="116"/>
    </row>
    <row r="65" spans="1:2" x14ac:dyDescent="0.2">
      <c r="A65" s="116"/>
      <c r="B65" s="116"/>
    </row>
    <row r="66" spans="1:2" x14ac:dyDescent="0.2">
      <c r="A66" s="116"/>
      <c r="B66" s="116"/>
    </row>
    <row r="67" spans="1:2" x14ac:dyDescent="0.2">
      <c r="A67" s="116"/>
      <c r="B67" s="116"/>
    </row>
    <row r="68" spans="1:2" x14ac:dyDescent="0.2">
      <c r="A68" s="116"/>
      <c r="B68" s="116"/>
    </row>
    <row r="69" spans="1:2" x14ac:dyDescent="0.2">
      <c r="A69" s="116"/>
      <c r="B69" s="116"/>
    </row>
    <row r="70" spans="1:2" x14ac:dyDescent="0.2">
      <c r="A70" s="116"/>
      <c r="B70" s="116"/>
    </row>
    <row r="71" spans="1:2" x14ac:dyDescent="0.2">
      <c r="A71" s="116"/>
      <c r="B71" s="116"/>
    </row>
    <row r="72" spans="1:2" x14ac:dyDescent="0.2">
      <c r="A72" s="116"/>
      <c r="B72" s="116"/>
    </row>
    <row r="73" spans="1:2" x14ac:dyDescent="0.2">
      <c r="A73" s="116"/>
      <c r="B73" s="116"/>
    </row>
    <row r="74" spans="1:2" x14ac:dyDescent="0.2">
      <c r="A74" s="116"/>
      <c r="B74" s="116"/>
    </row>
    <row r="75" spans="1:2" x14ac:dyDescent="0.2">
      <c r="A75" s="116"/>
      <c r="B75" s="116"/>
    </row>
    <row r="76" spans="1:2" x14ac:dyDescent="0.2">
      <c r="A76" s="116"/>
      <c r="B76" s="116"/>
    </row>
    <row r="77" spans="1:2" x14ac:dyDescent="0.2">
      <c r="A77" s="116"/>
      <c r="B77" s="116"/>
    </row>
    <row r="78" spans="1:2" x14ac:dyDescent="0.2">
      <c r="A78" s="116"/>
      <c r="B78" s="116"/>
    </row>
    <row r="79" spans="1:2" x14ac:dyDescent="0.2">
      <c r="A79" s="116"/>
      <c r="B79" s="116"/>
    </row>
    <row r="80" spans="1:2" x14ac:dyDescent="0.2">
      <c r="A80" s="116"/>
      <c r="B80" s="116"/>
    </row>
    <row r="81" spans="1:2" x14ac:dyDescent="0.2">
      <c r="A81" s="116"/>
      <c r="B81" s="116"/>
    </row>
    <row r="82" spans="1:2" x14ac:dyDescent="0.2">
      <c r="A82" s="116"/>
      <c r="B82" s="116"/>
    </row>
    <row r="83" spans="1:2" x14ac:dyDescent="0.2">
      <c r="A83" s="116"/>
      <c r="B83" s="116"/>
    </row>
    <row r="84" spans="1:2" x14ac:dyDescent="0.2">
      <c r="A84" s="116"/>
      <c r="B84" s="116"/>
    </row>
    <row r="85" spans="1:2" x14ac:dyDescent="0.2">
      <c r="A85" s="116"/>
      <c r="B85" s="116"/>
    </row>
    <row r="86" spans="1:2" x14ac:dyDescent="0.2">
      <c r="A86" s="116"/>
      <c r="B86" s="116"/>
    </row>
    <row r="87" spans="1:2" x14ac:dyDescent="0.2">
      <c r="A87" s="116"/>
      <c r="B87" s="116"/>
    </row>
    <row r="88" spans="1:2" x14ac:dyDescent="0.2">
      <c r="A88" s="116"/>
      <c r="B88" s="116"/>
    </row>
    <row r="89" spans="1:2" x14ac:dyDescent="0.2">
      <c r="A89" s="116"/>
      <c r="B89" s="116"/>
    </row>
    <row r="90" spans="1:2" x14ac:dyDescent="0.2">
      <c r="A90" s="116"/>
      <c r="B90" s="116"/>
    </row>
    <row r="91" spans="1:2" x14ac:dyDescent="0.2">
      <c r="A91" s="116"/>
      <c r="B91" s="116"/>
    </row>
    <row r="92" spans="1:2" x14ac:dyDescent="0.2">
      <c r="A92" s="116"/>
      <c r="B92" s="116"/>
    </row>
    <row r="93" spans="1:2" x14ac:dyDescent="0.2">
      <c r="A93" s="116"/>
      <c r="B93" s="116"/>
    </row>
    <row r="94" spans="1:2" x14ac:dyDescent="0.2">
      <c r="A94" s="116"/>
      <c r="B94" s="116"/>
    </row>
    <row r="95" spans="1:2" x14ac:dyDescent="0.2">
      <c r="A95" s="116"/>
      <c r="B95" s="116"/>
    </row>
    <row r="96" spans="1:2" x14ac:dyDescent="0.2">
      <c r="A96" s="116"/>
      <c r="B96" s="116"/>
    </row>
    <row r="97" spans="1:2" x14ac:dyDescent="0.2">
      <c r="A97" s="116"/>
      <c r="B97" s="116"/>
    </row>
    <row r="98" spans="1:2" x14ac:dyDescent="0.2">
      <c r="A98" s="116"/>
      <c r="B98" s="116"/>
    </row>
    <row r="99" spans="1:2" x14ac:dyDescent="0.2">
      <c r="A99" s="116"/>
      <c r="B99" s="116"/>
    </row>
    <row r="100" spans="1:2" x14ac:dyDescent="0.2">
      <c r="A100" s="116"/>
      <c r="B100" s="116"/>
    </row>
    <row r="101" spans="1:2" x14ac:dyDescent="0.2">
      <c r="A101" s="116"/>
      <c r="B101" s="116"/>
    </row>
    <row r="102" spans="1:2" x14ac:dyDescent="0.2">
      <c r="A102" s="116"/>
      <c r="B102" s="116"/>
    </row>
    <row r="103" spans="1:2" x14ac:dyDescent="0.2">
      <c r="A103" s="116"/>
      <c r="B103" s="116"/>
    </row>
    <row r="104" spans="1:2" x14ac:dyDescent="0.2">
      <c r="A104" s="116"/>
      <c r="B104" s="116"/>
    </row>
    <row r="105" spans="1:2" x14ac:dyDescent="0.2">
      <c r="A105" s="116"/>
      <c r="B105" s="116"/>
    </row>
    <row r="106" spans="1:2" x14ac:dyDescent="0.2">
      <c r="A106" s="116"/>
      <c r="B106" s="116"/>
    </row>
    <row r="107" spans="1:2" x14ac:dyDescent="0.2">
      <c r="A107" s="116"/>
      <c r="B107" s="116"/>
    </row>
    <row r="108" spans="1:2" x14ac:dyDescent="0.2">
      <c r="A108" s="116"/>
      <c r="B108" s="116"/>
    </row>
    <row r="109" spans="1:2" x14ac:dyDescent="0.2">
      <c r="A109" s="116"/>
      <c r="B109" s="116"/>
    </row>
    <row r="110" spans="1:2" x14ac:dyDescent="0.2">
      <c r="A110" s="116"/>
      <c r="B110" s="116"/>
    </row>
    <row r="111" spans="1:2" x14ac:dyDescent="0.2">
      <c r="A111" s="116"/>
      <c r="B111" s="116"/>
    </row>
    <row r="112" spans="1:2" x14ac:dyDescent="0.2">
      <c r="A112" s="116"/>
      <c r="B112" s="116"/>
    </row>
    <row r="113" spans="1:2" x14ac:dyDescent="0.2">
      <c r="A113" s="116"/>
      <c r="B113" s="116"/>
    </row>
    <row r="114" spans="1:2" x14ac:dyDescent="0.2">
      <c r="A114" s="116"/>
      <c r="B114" s="116"/>
    </row>
    <row r="115" spans="1:2" x14ac:dyDescent="0.2">
      <c r="A115" s="116"/>
      <c r="B115" s="116"/>
    </row>
    <row r="116" spans="1:2" x14ac:dyDescent="0.2">
      <c r="A116" s="116"/>
      <c r="B116" s="116"/>
    </row>
    <row r="117" spans="1:2" x14ac:dyDescent="0.2">
      <c r="A117" s="116"/>
      <c r="B117" s="116"/>
    </row>
    <row r="118" spans="1:2" x14ac:dyDescent="0.2">
      <c r="A118" s="116"/>
      <c r="B118" s="116"/>
    </row>
    <row r="119" spans="1:2" x14ac:dyDescent="0.2">
      <c r="A119" s="116"/>
      <c r="B119" s="116"/>
    </row>
    <row r="120" spans="1:2" x14ac:dyDescent="0.2">
      <c r="A120" s="116"/>
      <c r="B120" s="116"/>
    </row>
    <row r="121" spans="1:2" x14ac:dyDescent="0.2">
      <c r="A121" s="116"/>
      <c r="B121" s="116"/>
    </row>
    <row r="122" spans="1:2" x14ac:dyDescent="0.2">
      <c r="A122" s="116"/>
      <c r="B122" s="116"/>
    </row>
    <row r="123" spans="1:2" x14ac:dyDescent="0.2">
      <c r="A123" s="116"/>
      <c r="B123" s="116"/>
    </row>
    <row r="124" spans="1:2" x14ac:dyDescent="0.2">
      <c r="A124" s="116"/>
      <c r="B124" s="116"/>
    </row>
    <row r="125" spans="1:2" x14ac:dyDescent="0.2">
      <c r="A125" s="116"/>
      <c r="B125" s="116"/>
    </row>
    <row r="126" spans="1:2" x14ac:dyDescent="0.2">
      <c r="A126" s="116"/>
      <c r="B126" s="116"/>
    </row>
    <row r="127" spans="1:2" x14ac:dyDescent="0.2">
      <c r="A127" s="116"/>
      <c r="B127" s="116"/>
    </row>
    <row r="128" spans="1:2" x14ac:dyDescent="0.2">
      <c r="A128" s="116"/>
      <c r="B128" s="116"/>
    </row>
    <row r="129" spans="1:2" x14ac:dyDescent="0.2">
      <c r="A129" s="116"/>
      <c r="B129" s="116"/>
    </row>
    <row r="130" spans="1:2" x14ac:dyDescent="0.2">
      <c r="A130" s="116"/>
      <c r="B130" s="116"/>
    </row>
    <row r="131" spans="1:2" x14ac:dyDescent="0.2">
      <c r="A131" s="116"/>
      <c r="B131" s="116"/>
    </row>
    <row r="132" spans="1:2" x14ac:dyDescent="0.2">
      <c r="A132" s="116"/>
      <c r="B132" s="116"/>
    </row>
    <row r="133" spans="1:2" x14ac:dyDescent="0.2">
      <c r="A133" s="116"/>
      <c r="B133" s="116"/>
    </row>
    <row r="134" spans="1:2" x14ac:dyDescent="0.2">
      <c r="A134" s="116"/>
      <c r="B134" s="116"/>
    </row>
    <row r="135" spans="1:2" x14ac:dyDescent="0.2">
      <c r="A135" s="116"/>
      <c r="B135" s="116"/>
    </row>
    <row r="136" spans="1:2" x14ac:dyDescent="0.2">
      <c r="A136" s="116"/>
      <c r="B136" s="116"/>
    </row>
    <row r="137" spans="1:2" x14ac:dyDescent="0.2">
      <c r="A137" s="116"/>
      <c r="B137" s="116"/>
    </row>
    <row r="138" spans="1:2" x14ac:dyDescent="0.2">
      <c r="A138" s="116"/>
      <c r="B138" s="116"/>
    </row>
    <row r="139" spans="1:2" x14ac:dyDescent="0.2">
      <c r="A139" s="116"/>
      <c r="B139" s="116"/>
    </row>
    <row r="140" spans="1:2" x14ac:dyDescent="0.2">
      <c r="A140" s="116"/>
      <c r="B140" s="116"/>
    </row>
    <row r="141" spans="1:2" x14ac:dyDescent="0.2">
      <c r="A141" s="116"/>
      <c r="B141" s="116"/>
    </row>
    <row r="142" spans="1:2" x14ac:dyDescent="0.2">
      <c r="A142" s="116"/>
      <c r="B142" s="116"/>
    </row>
    <row r="143" spans="1:2" x14ac:dyDescent="0.2">
      <c r="A143" s="116"/>
      <c r="B143" s="116"/>
    </row>
    <row r="144" spans="1:2" x14ac:dyDescent="0.2">
      <c r="A144" s="116"/>
      <c r="B144" s="116"/>
    </row>
    <row r="145" spans="1:2" x14ac:dyDescent="0.2">
      <c r="A145" s="116"/>
      <c r="B145" s="116"/>
    </row>
    <row r="146" spans="1:2" x14ac:dyDescent="0.2">
      <c r="A146" s="116"/>
      <c r="B146" s="116"/>
    </row>
    <row r="147" spans="1:2" x14ac:dyDescent="0.2">
      <c r="A147" s="116"/>
      <c r="B147" s="116"/>
    </row>
    <row r="148" spans="1:2" x14ac:dyDescent="0.2">
      <c r="A148" s="116"/>
      <c r="B148" s="116"/>
    </row>
    <row r="149" spans="1:2" x14ac:dyDescent="0.2">
      <c r="A149" s="116"/>
      <c r="B149" s="116"/>
    </row>
    <row r="150" spans="1:2" x14ac:dyDescent="0.2">
      <c r="A150" s="116"/>
      <c r="B150" s="116"/>
    </row>
    <row r="151" spans="1:2" x14ac:dyDescent="0.2">
      <c r="A151" s="116"/>
      <c r="B151" s="116"/>
    </row>
    <row r="152" spans="1:2" x14ac:dyDescent="0.2">
      <c r="A152" s="116"/>
      <c r="B152" s="116"/>
    </row>
    <row r="153" spans="1:2" x14ac:dyDescent="0.2">
      <c r="A153" s="116"/>
      <c r="B153" s="116"/>
    </row>
    <row r="154" spans="1:2" x14ac:dyDescent="0.2">
      <c r="A154" s="116"/>
      <c r="B154" s="116"/>
    </row>
    <row r="155" spans="1:2" x14ac:dyDescent="0.2">
      <c r="A155" s="116"/>
      <c r="B155" s="116"/>
    </row>
    <row r="156" spans="1:2" x14ac:dyDescent="0.2">
      <c r="A156" s="116"/>
      <c r="B156" s="116"/>
    </row>
    <row r="157" spans="1:2" x14ac:dyDescent="0.2">
      <c r="A157" s="116"/>
      <c r="B157" s="116"/>
    </row>
    <row r="158" spans="1:2" x14ac:dyDescent="0.2">
      <c r="A158" s="116"/>
      <c r="B158" s="116"/>
    </row>
    <row r="159" spans="1:2" x14ac:dyDescent="0.2">
      <c r="A159" s="116"/>
      <c r="B159" s="116"/>
    </row>
    <row r="160" spans="1:2" x14ac:dyDescent="0.2">
      <c r="A160" s="116"/>
      <c r="B160" s="116"/>
    </row>
    <row r="161" spans="1:2" x14ac:dyDescent="0.2">
      <c r="A161" s="116"/>
      <c r="B161" s="116"/>
    </row>
    <row r="162" spans="1:2" x14ac:dyDescent="0.2">
      <c r="A162" s="116"/>
      <c r="B162" s="116"/>
    </row>
    <row r="163" spans="1:2" x14ac:dyDescent="0.2">
      <c r="A163" s="116"/>
      <c r="B163" s="116"/>
    </row>
    <row r="164" spans="1:2" x14ac:dyDescent="0.2">
      <c r="A164" s="116"/>
      <c r="B164" s="116"/>
    </row>
    <row r="165" spans="1:2" x14ac:dyDescent="0.2">
      <c r="A165" s="116"/>
      <c r="B165" s="116"/>
    </row>
    <row r="166" spans="1:2" x14ac:dyDescent="0.2">
      <c r="A166" s="116"/>
      <c r="B166" s="116"/>
    </row>
    <row r="167" spans="1:2" x14ac:dyDescent="0.2">
      <c r="A167" s="116"/>
      <c r="B167" s="116"/>
    </row>
    <row r="168" spans="1:2" x14ac:dyDescent="0.2">
      <c r="A168" s="116"/>
      <c r="B168" s="116"/>
    </row>
    <row r="169" spans="1:2" x14ac:dyDescent="0.2">
      <c r="A169" s="116"/>
      <c r="B169" s="116"/>
    </row>
    <row r="170" spans="1:2" x14ac:dyDescent="0.2">
      <c r="A170" s="116"/>
      <c r="B170" s="116"/>
    </row>
    <row r="171" spans="1:2" x14ac:dyDescent="0.2">
      <c r="A171" s="116"/>
      <c r="B171" s="116"/>
    </row>
    <row r="172" spans="1:2" x14ac:dyDescent="0.2">
      <c r="A172" s="116"/>
      <c r="B172" s="116"/>
    </row>
    <row r="173" spans="1:2" x14ac:dyDescent="0.2">
      <c r="A173" s="116"/>
      <c r="B173" s="116"/>
    </row>
    <row r="174" spans="1:2" x14ac:dyDescent="0.2">
      <c r="A174" s="116"/>
      <c r="B174" s="116"/>
    </row>
    <row r="175" spans="1:2" x14ac:dyDescent="0.2">
      <c r="A175" s="116"/>
      <c r="B175" s="116"/>
    </row>
    <row r="176" spans="1:2" x14ac:dyDescent="0.2">
      <c r="A176" s="116"/>
      <c r="B176" s="116"/>
    </row>
    <row r="177" spans="1:2" x14ac:dyDescent="0.2">
      <c r="A177" s="116"/>
      <c r="B177" s="116"/>
    </row>
    <row r="178" spans="1:2" x14ac:dyDescent="0.2">
      <c r="A178" s="116"/>
      <c r="B178" s="116"/>
    </row>
    <row r="179" spans="1:2" x14ac:dyDescent="0.2">
      <c r="A179" s="116"/>
      <c r="B179" s="116"/>
    </row>
    <row r="180" spans="1:2" x14ac:dyDescent="0.2">
      <c r="A180" s="116"/>
      <c r="B180" s="116"/>
    </row>
    <row r="181" spans="1:2" x14ac:dyDescent="0.2">
      <c r="A181" s="116"/>
      <c r="B181" s="116"/>
    </row>
    <row r="182" spans="1:2" x14ac:dyDescent="0.2">
      <c r="A182" s="116"/>
      <c r="B182" s="116"/>
    </row>
    <row r="183" spans="1:2" x14ac:dyDescent="0.2">
      <c r="A183" s="116"/>
      <c r="B183" s="116"/>
    </row>
    <row r="184" spans="1:2" x14ac:dyDescent="0.2">
      <c r="A184" s="116"/>
      <c r="B184" s="116"/>
    </row>
    <row r="185" spans="1:2" x14ac:dyDescent="0.2">
      <c r="A185" s="116"/>
      <c r="B185" s="116"/>
    </row>
    <row r="186" spans="1:2" x14ac:dyDescent="0.2">
      <c r="A186" s="116"/>
      <c r="B186" s="116"/>
    </row>
    <row r="187" spans="1:2" x14ac:dyDescent="0.2">
      <c r="A187" s="116"/>
      <c r="B187" s="116"/>
    </row>
    <row r="188" spans="1:2" x14ac:dyDescent="0.2">
      <c r="A188" s="116"/>
      <c r="B188" s="116"/>
    </row>
    <row r="189" spans="1:2" x14ac:dyDescent="0.2">
      <c r="A189" s="116"/>
      <c r="B189" s="116"/>
    </row>
    <row r="190" spans="1:2" x14ac:dyDescent="0.2">
      <c r="A190" s="116"/>
      <c r="B190" s="116"/>
    </row>
    <row r="191" spans="1:2" x14ac:dyDescent="0.2">
      <c r="A191" s="116"/>
      <c r="B191" s="116"/>
    </row>
    <row r="192" spans="1:2" x14ac:dyDescent="0.2">
      <c r="A192" s="116"/>
      <c r="B192" s="116"/>
    </row>
    <row r="193" spans="1:2" x14ac:dyDescent="0.2">
      <c r="A193" s="116"/>
      <c r="B193" s="116"/>
    </row>
    <row r="194" spans="1:2" x14ac:dyDescent="0.2">
      <c r="A194" s="116"/>
      <c r="B194" s="116"/>
    </row>
    <row r="195" spans="1:2" x14ac:dyDescent="0.2">
      <c r="A195" s="116"/>
      <c r="B195" s="116"/>
    </row>
    <row r="196" spans="1:2" x14ac:dyDescent="0.2">
      <c r="A196" s="116"/>
      <c r="B196" s="116"/>
    </row>
    <row r="197" spans="1:2" x14ac:dyDescent="0.2">
      <c r="A197" s="116"/>
      <c r="B197" s="116"/>
    </row>
    <row r="198" spans="1:2" x14ac:dyDescent="0.2">
      <c r="A198" s="116"/>
      <c r="B198" s="116"/>
    </row>
    <row r="199" spans="1:2" x14ac:dyDescent="0.2">
      <c r="A199" s="116"/>
      <c r="B199" s="116"/>
    </row>
    <row r="200" spans="1:2" x14ac:dyDescent="0.2">
      <c r="A200" s="116"/>
      <c r="B200" s="116"/>
    </row>
    <row r="201" spans="1:2" x14ac:dyDescent="0.2">
      <c r="A201" s="116"/>
      <c r="B201" s="116"/>
    </row>
    <row r="202" spans="1:2" x14ac:dyDescent="0.2">
      <c r="A202" s="116"/>
      <c r="B202" s="116"/>
    </row>
    <row r="203" spans="1:2" x14ac:dyDescent="0.2">
      <c r="A203" s="116"/>
      <c r="B203" s="116"/>
    </row>
    <row r="204" spans="1:2" x14ac:dyDescent="0.2">
      <c r="A204" s="116"/>
      <c r="B204" s="116"/>
    </row>
    <row r="205" spans="1:2" x14ac:dyDescent="0.2">
      <c r="A205" s="116"/>
      <c r="B205" s="116"/>
    </row>
    <row r="206" spans="1:2" x14ac:dyDescent="0.2">
      <c r="A206" s="116"/>
      <c r="B206" s="116"/>
    </row>
    <row r="207" spans="1:2" x14ac:dyDescent="0.2">
      <c r="A207" s="116"/>
      <c r="B207" s="116"/>
    </row>
    <row r="208" spans="1:2" x14ac:dyDescent="0.2">
      <c r="A208" s="116"/>
      <c r="B208" s="116"/>
    </row>
    <row r="209" spans="1:2" x14ac:dyDescent="0.2">
      <c r="A209" s="116"/>
      <c r="B209" s="116"/>
    </row>
    <row r="210" spans="1:2" x14ac:dyDescent="0.2">
      <c r="A210" s="116"/>
      <c r="B210" s="116"/>
    </row>
    <row r="211" spans="1:2" x14ac:dyDescent="0.2">
      <c r="A211" s="116"/>
      <c r="B211" s="116"/>
    </row>
    <row r="212" spans="1:2" x14ac:dyDescent="0.2">
      <c r="A212" s="116"/>
      <c r="B212" s="116"/>
    </row>
    <row r="213" spans="1:2" x14ac:dyDescent="0.2">
      <c r="A213" s="116"/>
      <c r="B213" s="116"/>
    </row>
    <row r="214" spans="1:2" x14ac:dyDescent="0.2">
      <c r="A214" s="116"/>
      <c r="B214" s="116"/>
    </row>
    <row r="215" spans="1:2" x14ac:dyDescent="0.2">
      <c r="A215" s="116"/>
      <c r="B215" s="116"/>
    </row>
    <row r="216" spans="1:2" x14ac:dyDescent="0.2">
      <c r="A216" s="116"/>
      <c r="B216" s="116"/>
    </row>
    <row r="217" spans="1:2" x14ac:dyDescent="0.2">
      <c r="A217" s="116"/>
      <c r="B217" s="116"/>
    </row>
    <row r="218" spans="1:2" x14ac:dyDescent="0.2">
      <c r="A218" s="116"/>
      <c r="B218" s="116"/>
    </row>
    <row r="219" spans="1:2" x14ac:dyDescent="0.2">
      <c r="A219" s="116"/>
      <c r="B219" s="116"/>
    </row>
    <row r="220" spans="1:2" x14ac:dyDescent="0.2">
      <c r="A220" s="116"/>
      <c r="B220" s="116"/>
    </row>
    <row r="221" spans="1:2" x14ac:dyDescent="0.2">
      <c r="A221" s="116"/>
      <c r="B221" s="116"/>
    </row>
    <row r="222" spans="1:2" x14ac:dyDescent="0.2">
      <c r="A222" s="116"/>
      <c r="B222" s="116"/>
    </row>
    <row r="223" spans="1:2" x14ac:dyDescent="0.2">
      <c r="A223" s="116"/>
      <c r="B223" s="116"/>
    </row>
    <row r="224" spans="1:2" x14ac:dyDescent="0.2">
      <c r="A224" s="116"/>
      <c r="B224" s="116"/>
    </row>
    <row r="225" spans="1:2" x14ac:dyDescent="0.2">
      <c r="A225" s="116"/>
      <c r="B225" s="116"/>
    </row>
    <row r="226" spans="1:2" x14ac:dyDescent="0.2">
      <c r="A226" s="116"/>
      <c r="B226" s="116"/>
    </row>
    <row r="227" spans="1:2" x14ac:dyDescent="0.2">
      <c r="A227" s="116"/>
      <c r="B227" s="116"/>
    </row>
    <row r="228" spans="1:2" x14ac:dyDescent="0.2">
      <c r="A228" s="116"/>
      <c r="B228" s="116"/>
    </row>
    <row r="229" spans="1:2" x14ac:dyDescent="0.2">
      <c r="A229" s="116"/>
      <c r="B229" s="116"/>
    </row>
    <row r="230" spans="1:2" x14ac:dyDescent="0.2">
      <c r="A230" s="116"/>
      <c r="B230" s="116"/>
    </row>
    <row r="231" spans="1:2" x14ac:dyDescent="0.2">
      <c r="A231" s="116"/>
      <c r="B231" s="116"/>
    </row>
    <row r="232" spans="1:2" x14ac:dyDescent="0.2">
      <c r="A232" s="116"/>
      <c r="B232" s="116"/>
    </row>
    <row r="233" spans="1:2" x14ac:dyDescent="0.2">
      <c r="A233" s="116"/>
      <c r="B233" s="116"/>
    </row>
    <row r="234" spans="1:2" x14ac:dyDescent="0.2">
      <c r="A234" s="116"/>
      <c r="B234" s="116"/>
    </row>
    <row r="235" spans="1:2" x14ac:dyDescent="0.2">
      <c r="A235" s="116"/>
      <c r="B235" s="116"/>
    </row>
    <row r="236" spans="1:2" x14ac:dyDescent="0.2">
      <c r="A236" s="116"/>
      <c r="B236" s="116"/>
    </row>
    <row r="237" spans="1:2" x14ac:dyDescent="0.2">
      <c r="A237" s="116"/>
      <c r="B237" s="116"/>
    </row>
    <row r="238" spans="1:2" x14ac:dyDescent="0.2">
      <c r="A238" s="116"/>
      <c r="B238" s="116"/>
    </row>
    <row r="239" spans="1:2" x14ac:dyDescent="0.2">
      <c r="A239" s="116"/>
      <c r="B239" s="116"/>
    </row>
    <row r="240" spans="1:2" x14ac:dyDescent="0.2">
      <c r="A240" s="116"/>
      <c r="B240" s="116"/>
    </row>
    <row r="241" spans="1:2" x14ac:dyDescent="0.2">
      <c r="A241" s="116"/>
      <c r="B241" s="116"/>
    </row>
    <row r="242" spans="1:2" x14ac:dyDescent="0.2">
      <c r="A242" s="116"/>
      <c r="B242" s="116"/>
    </row>
    <row r="243" spans="1:2" x14ac:dyDescent="0.2">
      <c r="A243" s="116"/>
      <c r="B243" s="116"/>
    </row>
    <row r="244" spans="1:2" x14ac:dyDescent="0.2">
      <c r="A244" s="116"/>
      <c r="B244" s="116"/>
    </row>
    <row r="245" spans="1:2" x14ac:dyDescent="0.2">
      <c r="A245" s="116"/>
      <c r="B245" s="116"/>
    </row>
    <row r="246" spans="1:2" x14ac:dyDescent="0.2">
      <c r="A246" s="116"/>
      <c r="B246" s="116"/>
    </row>
    <row r="247" spans="1:2" x14ac:dyDescent="0.2">
      <c r="A247" s="116"/>
      <c r="B247" s="116"/>
    </row>
    <row r="248" spans="1:2" x14ac:dyDescent="0.2">
      <c r="A248" s="116"/>
      <c r="B248" s="116"/>
    </row>
    <row r="249" spans="1:2" x14ac:dyDescent="0.2">
      <c r="A249" s="116"/>
      <c r="B249" s="116"/>
    </row>
    <row r="250" spans="1:2" x14ac:dyDescent="0.2">
      <c r="A250" s="116"/>
      <c r="B250" s="116"/>
    </row>
    <row r="251" spans="1:2" x14ac:dyDescent="0.2">
      <c r="A251" s="116"/>
      <c r="B251" s="116"/>
    </row>
    <row r="252" spans="1:2" x14ac:dyDescent="0.2">
      <c r="A252" s="116"/>
      <c r="B252" s="116"/>
    </row>
    <row r="253" spans="1:2" x14ac:dyDescent="0.2">
      <c r="A253" s="116"/>
      <c r="B253" s="116"/>
    </row>
    <row r="254" spans="1:2" x14ac:dyDescent="0.2">
      <c r="A254" s="116"/>
      <c r="B254" s="116"/>
    </row>
    <row r="255" spans="1:2" x14ac:dyDescent="0.2">
      <c r="A255" s="116"/>
      <c r="B255" s="116"/>
    </row>
    <row r="256" spans="1:2" x14ac:dyDescent="0.2">
      <c r="A256" s="116"/>
      <c r="B256" s="116"/>
    </row>
    <row r="257" spans="1:2" x14ac:dyDescent="0.2">
      <c r="A257" s="116"/>
      <c r="B257" s="116"/>
    </row>
    <row r="258" spans="1:2" x14ac:dyDescent="0.2">
      <c r="A258" s="116"/>
      <c r="B258" s="116"/>
    </row>
    <row r="259" spans="1:2" x14ac:dyDescent="0.2">
      <c r="A259" s="116"/>
      <c r="B259" s="116"/>
    </row>
    <row r="260" spans="1:2" x14ac:dyDescent="0.2">
      <c r="A260" s="116"/>
      <c r="B260" s="116"/>
    </row>
    <row r="261" spans="1:2" x14ac:dyDescent="0.2">
      <c r="A261" s="116"/>
      <c r="B261" s="116"/>
    </row>
    <row r="262" spans="1:2" x14ac:dyDescent="0.2">
      <c r="A262" s="116"/>
      <c r="B262" s="116"/>
    </row>
    <row r="263" spans="1:2" x14ac:dyDescent="0.2">
      <c r="A263" s="116"/>
      <c r="B263" s="116"/>
    </row>
    <row r="264" spans="1:2" x14ac:dyDescent="0.2">
      <c r="A264" s="116"/>
      <c r="B264" s="116"/>
    </row>
    <row r="265" spans="1:2" x14ac:dyDescent="0.2">
      <c r="A265" s="116"/>
      <c r="B265" s="116"/>
    </row>
    <row r="266" spans="1:2" x14ac:dyDescent="0.2">
      <c r="A266" s="116"/>
      <c r="B266" s="116"/>
    </row>
    <row r="267" spans="1:2" x14ac:dyDescent="0.2">
      <c r="A267" s="116"/>
      <c r="B267" s="116"/>
    </row>
    <row r="268" spans="1:2" x14ac:dyDescent="0.2">
      <c r="A268" s="116"/>
      <c r="B268" s="116"/>
    </row>
    <row r="269" spans="1:2" x14ac:dyDescent="0.2">
      <c r="A269" s="116"/>
      <c r="B269" s="116"/>
    </row>
    <row r="270" spans="1:2" x14ac:dyDescent="0.2">
      <c r="A270" s="116"/>
      <c r="B270" s="116"/>
    </row>
    <row r="271" spans="1:2" x14ac:dyDescent="0.2">
      <c r="A271" s="116"/>
      <c r="B271" s="116"/>
    </row>
    <row r="272" spans="1:2" x14ac:dyDescent="0.2">
      <c r="A272" s="116"/>
      <c r="B272" s="116"/>
    </row>
    <row r="273" spans="1:2" x14ac:dyDescent="0.2">
      <c r="A273" s="116"/>
      <c r="B273" s="116"/>
    </row>
    <row r="274" spans="1:2" x14ac:dyDescent="0.2">
      <c r="A274" s="116"/>
      <c r="B274" s="116"/>
    </row>
    <row r="275" spans="1:2" x14ac:dyDescent="0.2">
      <c r="A275" s="116"/>
      <c r="B275" s="116"/>
    </row>
    <row r="276" spans="1:2" x14ac:dyDescent="0.2">
      <c r="A276" s="116"/>
      <c r="B276" s="116"/>
    </row>
    <row r="277" spans="1:2" x14ac:dyDescent="0.2">
      <c r="A277" s="116"/>
      <c r="B277" s="116"/>
    </row>
    <row r="278" spans="1:2" x14ac:dyDescent="0.2">
      <c r="A278" s="116"/>
      <c r="B278" s="116"/>
    </row>
    <row r="279" spans="1:2" x14ac:dyDescent="0.2">
      <c r="A279" s="116"/>
      <c r="B279" s="116"/>
    </row>
    <row r="280" spans="1:2" x14ac:dyDescent="0.2">
      <c r="A280" s="116"/>
      <c r="B280" s="116"/>
    </row>
    <row r="281" spans="1:2" x14ac:dyDescent="0.2">
      <c r="A281" s="116"/>
      <c r="B281" s="116"/>
    </row>
    <row r="282" spans="1:2" x14ac:dyDescent="0.2">
      <c r="A282" s="116"/>
      <c r="B282" s="116"/>
    </row>
    <row r="283" spans="1:2" x14ac:dyDescent="0.2">
      <c r="A283" s="116"/>
      <c r="B283" s="116"/>
    </row>
    <row r="284" spans="1:2" x14ac:dyDescent="0.2">
      <c r="A284" s="116"/>
      <c r="B284" s="116"/>
    </row>
    <row r="285" spans="1:2" x14ac:dyDescent="0.2">
      <c r="A285" s="116"/>
      <c r="B285" s="116"/>
    </row>
    <row r="286" spans="1:2" x14ac:dyDescent="0.2">
      <c r="A286" s="116"/>
      <c r="B286" s="116"/>
    </row>
    <row r="287" spans="1:2" x14ac:dyDescent="0.2">
      <c r="A287" s="116"/>
      <c r="B287" s="116"/>
    </row>
    <row r="288" spans="1:2" x14ac:dyDescent="0.2">
      <c r="A288" s="116"/>
      <c r="B288" s="116"/>
    </row>
    <row r="289" spans="1:2" x14ac:dyDescent="0.2">
      <c r="A289" s="116"/>
      <c r="B289" s="116"/>
    </row>
    <row r="290" spans="1:2" x14ac:dyDescent="0.2">
      <c r="A290" s="116"/>
      <c r="B290" s="116"/>
    </row>
    <row r="291" spans="1:2" x14ac:dyDescent="0.2">
      <c r="A291" s="116"/>
      <c r="B291" s="116"/>
    </row>
    <row r="292" spans="1:2" x14ac:dyDescent="0.2">
      <c r="A292" s="116"/>
      <c r="B292" s="116"/>
    </row>
    <row r="293" spans="1:2" x14ac:dyDescent="0.2">
      <c r="A293" s="116"/>
      <c r="B293" s="116"/>
    </row>
    <row r="294" spans="1:2" x14ac:dyDescent="0.2">
      <c r="A294" s="116"/>
      <c r="B294" s="116"/>
    </row>
    <row r="295" spans="1:2" x14ac:dyDescent="0.2">
      <c r="A295" s="116"/>
      <c r="B295" s="116"/>
    </row>
    <row r="296" spans="1:2" x14ac:dyDescent="0.2">
      <c r="A296" s="116"/>
      <c r="B296" s="116"/>
    </row>
    <row r="297" spans="1:2" x14ac:dyDescent="0.2">
      <c r="A297" s="116"/>
      <c r="B297" s="116"/>
    </row>
    <row r="298" spans="1:2" x14ac:dyDescent="0.2">
      <c r="A298" s="116"/>
      <c r="B298" s="116"/>
    </row>
    <row r="299" spans="1:2" x14ac:dyDescent="0.2">
      <c r="A299" s="116"/>
      <c r="B299" s="116"/>
    </row>
    <row r="300" spans="1:2" x14ac:dyDescent="0.2">
      <c r="A300" s="116"/>
      <c r="B300" s="116"/>
    </row>
    <row r="301" spans="1:2" x14ac:dyDescent="0.2">
      <c r="A301" s="116"/>
      <c r="B301" s="116"/>
    </row>
    <row r="302" spans="1:2" x14ac:dyDescent="0.2">
      <c r="A302" s="116"/>
      <c r="B302" s="116"/>
    </row>
    <row r="303" spans="1:2" x14ac:dyDescent="0.2">
      <c r="A303" s="116"/>
      <c r="B303" s="116"/>
    </row>
    <row r="304" spans="1:2" x14ac:dyDescent="0.2">
      <c r="A304" s="116"/>
      <c r="B304" s="116"/>
    </row>
    <row r="305" spans="1:2" x14ac:dyDescent="0.2">
      <c r="A305" s="116"/>
      <c r="B305" s="116"/>
    </row>
    <row r="306" spans="1:2" x14ac:dyDescent="0.2">
      <c r="A306" s="116"/>
      <c r="B306" s="116"/>
    </row>
    <row r="307" spans="1:2" x14ac:dyDescent="0.2">
      <c r="A307" s="116"/>
      <c r="B307" s="116"/>
    </row>
    <row r="308" spans="1:2" x14ac:dyDescent="0.2">
      <c r="A308" s="116"/>
      <c r="B308" s="116"/>
    </row>
    <row r="309" spans="1:2" x14ac:dyDescent="0.2">
      <c r="A309" s="116"/>
      <c r="B309" s="116"/>
    </row>
    <row r="310" spans="1:2" x14ac:dyDescent="0.2">
      <c r="A310" s="116"/>
      <c r="B310" s="116"/>
    </row>
    <row r="311" spans="1:2" x14ac:dyDescent="0.2">
      <c r="A311" s="116"/>
      <c r="B311" s="116"/>
    </row>
    <row r="312" spans="1:2" x14ac:dyDescent="0.2">
      <c r="A312" s="116"/>
      <c r="B312" s="116"/>
    </row>
    <row r="313" spans="1:2" x14ac:dyDescent="0.2">
      <c r="A313" s="116"/>
      <c r="B313" s="116"/>
    </row>
    <row r="314" spans="1:2" x14ac:dyDescent="0.2">
      <c r="A314" s="116"/>
      <c r="B314" s="116"/>
    </row>
    <row r="315" spans="1:2" x14ac:dyDescent="0.2">
      <c r="A315" s="116"/>
      <c r="B315" s="116"/>
    </row>
    <row r="316" spans="1:2" x14ac:dyDescent="0.2">
      <c r="A316" s="116"/>
      <c r="B316" s="116"/>
    </row>
    <row r="317" spans="1:2" x14ac:dyDescent="0.2">
      <c r="A317" s="116"/>
      <c r="B317" s="116"/>
    </row>
    <row r="318" spans="1:2" x14ac:dyDescent="0.2">
      <c r="A318" s="116"/>
      <c r="B318" s="116"/>
    </row>
    <row r="319" spans="1:2" x14ac:dyDescent="0.2">
      <c r="A319" s="116"/>
      <c r="B319" s="116"/>
    </row>
    <row r="320" spans="1:2" x14ac:dyDescent="0.2">
      <c r="A320" s="116"/>
      <c r="B320" s="116"/>
    </row>
    <row r="321" spans="1:2" x14ac:dyDescent="0.2">
      <c r="A321" s="116"/>
      <c r="B321" s="116"/>
    </row>
    <row r="322" spans="1:2" x14ac:dyDescent="0.2">
      <c r="A322" s="116"/>
      <c r="B322" s="116"/>
    </row>
    <row r="323" spans="1:2" x14ac:dyDescent="0.2">
      <c r="A323" s="116"/>
      <c r="B323" s="116"/>
    </row>
    <row r="324" spans="1:2" x14ac:dyDescent="0.2">
      <c r="A324" s="116"/>
      <c r="B324" s="116"/>
    </row>
    <row r="325" spans="1:2" x14ac:dyDescent="0.2">
      <c r="A325" s="116"/>
      <c r="B325" s="116"/>
    </row>
    <row r="326" spans="1:2" x14ac:dyDescent="0.2">
      <c r="A326" s="116"/>
      <c r="B326" s="116"/>
    </row>
    <row r="327" spans="1:2" x14ac:dyDescent="0.2">
      <c r="A327" s="116"/>
      <c r="B327" s="116"/>
    </row>
    <row r="328" spans="1:2" x14ac:dyDescent="0.2">
      <c r="A328" s="116"/>
      <c r="B328" s="116"/>
    </row>
    <row r="329" spans="1:2" x14ac:dyDescent="0.2">
      <c r="A329" s="116"/>
      <c r="B329" s="116"/>
    </row>
    <row r="330" spans="1:2" x14ac:dyDescent="0.2">
      <c r="A330" s="116"/>
      <c r="B330" s="116"/>
    </row>
    <row r="331" spans="1:2" x14ac:dyDescent="0.2">
      <c r="A331" s="116"/>
      <c r="B331" s="116"/>
    </row>
    <row r="332" spans="1:2" x14ac:dyDescent="0.2">
      <c r="A332" s="116"/>
      <c r="B332" s="116"/>
    </row>
    <row r="333" spans="1:2" x14ac:dyDescent="0.2">
      <c r="A333" s="116"/>
      <c r="B333" s="116"/>
    </row>
    <row r="334" spans="1:2" x14ac:dyDescent="0.2">
      <c r="A334" s="116"/>
      <c r="B334" s="116"/>
    </row>
    <row r="335" spans="1:2" x14ac:dyDescent="0.2">
      <c r="A335" s="116"/>
      <c r="B335" s="116"/>
    </row>
    <row r="336" spans="1:2" x14ac:dyDescent="0.2">
      <c r="A336" s="116"/>
      <c r="B336" s="116"/>
    </row>
    <row r="337" spans="1:2" x14ac:dyDescent="0.2">
      <c r="A337" s="116"/>
      <c r="B337" s="116"/>
    </row>
    <row r="338" spans="1:2" x14ac:dyDescent="0.2">
      <c r="A338" s="116"/>
      <c r="B338" s="116"/>
    </row>
    <row r="339" spans="1:2" x14ac:dyDescent="0.2">
      <c r="A339" s="116"/>
      <c r="B339" s="116"/>
    </row>
    <row r="340" spans="1:2" x14ac:dyDescent="0.2">
      <c r="A340" s="116"/>
      <c r="B340" s="116"/>
    </row>
    <row r="341" spans="1:2" x14ac:dyDescent="0.2">
      <c r="A341" s="116"/>
      <c r="B341" s="116"/>
    </row>
    <row r="342" spans="1:2" x14ac:dyDescent="0.2">
      <c r="A342" s="116"/>
      <c r="B342" s="116"/>
    </row>
    <row r="343" spans="1:2" x14ac:dyDescent="0.2">
      <c r="A343" s="116"/>
      <c r="B343" s="116"/>
    </row>
    <row r="344" spans="1:2" x14ac:dyDescent="0.2">
      <c r="A344" s="116"/>
      <c r="B344" s="116"/>
    </row>
    <row r="345" spans="1:2" x14ac:dyDescent="0.2">
      <c r="A345" s="116"/>
      <c r="B345" s="116"/>
    </row>
    <row r="346" spans="1:2" x14ac:dyDescent="0.2">
      <c r="A346" s="116"/>
      <c r="B346" s="116"/>
    </row>
    <row r="347" spans="1:2" x14ac:dyDescent="0.2">
      <c r="A347" s="116"/>
      <c r="B347" s="116"/>
    </row>
    <row r="348" spans="1:2" x14ac:dyDescent="0.2">
      <c r="A348" s="116"/>
      <c r="B348" s="116"/>
    </row>
    <row r="349" spans="1:2" x14ac:dyDescent="0.2">
      <c r="A349" s="116"/>
      <c r="B349" s="116"/>
    </row>
    <row r="350" spans="1:2" x14ac:dyDescent="0.2">
      <c r="A350" s="116"/>
      <c r="B350" s="116"/>
    </row>
    <row r="351" spans="1:2" x14ac:dyDescent="0.2">
      <c r="A351" s="116"/>
      <c r="B351" s="116"/>
    </row>
    <row r="352" spans="1:2" x14ac:dyDescent="0.2">
      <c r="A352" s="116"/>
      <c r="B352" s="116"/>
    </row>
    <row r="353" spans="1:2" x14ac:dyDescent="0.2">
      <c r="A353" s="116"/>
      <c r="B353" s="116"/>
    </row>
    <row r="354" spans="1:2" x14ac:dyDescent="0.2">
      <c r="A354" s="116"/>
      <c r="B354" s="116"/>
    </row>
    <row r="355" spans="1:2" x14ac:dyDescent="0.2">
      <c r="A355" s="116"/>
      <c r="B355" s="116"/>
    </row>
    <row r="356" spans="1:2" x14ac:dyDescent="0.2">
      <c r="A356" s="116"/>
      <c r="B356" s="116"/>
    </row>
    <row r="357" spans="1:2" x14ac:dyDescent="0.2">
      <c r="A357" s="116"/>
      <c r="B357" s="116"/>
    </row>
    <row r="358" spans="1:2" x14ac:dyDescent="0.2">
      <c r="A358" s="116"/>
      <c r="B358" s="116"/>
    </row>
    <row r="359" spans="1:2" x14ac:dyDescent="0.2">
      <c r="A359" s="116"/>
      <c r="B359" s="116"/>
    </row>
    <row r="360" spans="1:2" x14ac:dyDescent="0.2">
      <c r="A360" s="116"/>
      <c r="B360" s="116"/>
    </row>
    <row r="361" spans="1:2" x14ac:dyDescent="0.2">
      <c r="A361" s="116"/>
      <c r="B361" s="116"/>
    </row>
    <row r="362" spans="1:2" x14ac:dyDescent="0.2">
      <c r="A362" s="116"/>
      <c r="B362" s="116"/>
    </row>
    <row r="363" spans="1:2" x14ac:dyDescent="0.2">
      <c r="A363" s="116"/>
      <c r="B363" s="116"/>
    </row>
    <row r="364" spans="1:2" x14ac:dyDescent="0.2">
      <c r="A364" s="116"/>
      <c r="B364" s="116"/>
    </row>
    <row r="365" spans="1:2" x14ac:dyDescent="0.2">
      <c r="A365" s="116"/>
      <c r="B365" s="116"/>
    </row>
    <row r="366" spans="1:2" x14ac:dyDescent="0.2">
      <c r="A366" s="116"/>
      <c r="B366" s="116"/>
    </row>
    <row r="367" spans="1:2" x14ac:dyDescent="0.2">
      <c r="A367" s="116"/>
      <c r="B367" s="116"/>
    </row>
    <row r="368" spans="1:2" x14ac:dyDescent="0.2">
      <c r="A368" s="116"/>
      <c r="B368" s="116"/>
    </row>
    <row r="369" spans="1:2" x14ac:dyDescent="0.2">
      <c r="A369" s="116"/>
      <c r="B369" s="116"/>
    </row>
    <row r="370" spans="1:2" x14ac:dyDescent="0.2">
      <c r="A370" s="116"/>
      <c r="B370" s="116"/>
    </row>
    <row r="371" spans="1:2" x14ac:dyDescent="0.2">
      <c r="A371" s="116"/>
      <c r="B371" s="116"/>
    </row>
    <row r="372" spans="1:2" x14ac:dyDescent="0.2">
      <c r="A372" s="116"/>
      <c r="B372" s="116"/>
    </row>
    <row r="373" spans="1:2" x14ac:dyDescent="0.2">
      <c r="A373" s="116"/>
      <c r="B373" s="116"/>
    </row>
    <row r="374" spans="1:2" x14ac:dyDescent="0.2">
      <c r="A374" s="116"/>
      <c r="B374" s="116"/>
    </row>
    <row r="375" spans="1:2" x14ac:dyDescent="0.2">
      <c r="A375" s="116"/>
      <c r="B375" s="116"/>
    </row>
    <row r="376" spans="1:2" x14ac:dyDescent="0.2">
      <c r="A376" s="116"/>
      <c r="B376" s="116"/>
    </row>
    <row r="377" spans="1:2" x14ac:dyDescent="0.2">
      <c r="A377" s="116"/>
      <c r="B377" s="116"/>
    </row>
    <row r="378" spans="1:2" x14ac:dyDescent="0.2">
      <c r="A378" s="116"/>
      <c r="B378" s="116"/>
    </row>
    <row r="379" spans="1:2" x14ac:dyDescent="0.2">
      <c r="A379" s="116"/>
      <c r="B379" s="116"/>
    </row>
    <row r="380" spans="1:2" x14ac:dyDescent="0.2">
      <c r="A380" s="116"/>
      <c r="B380" s="116"/>
    </row>
    <row r="381" spans="1:2" x14ac:dyDescent="0.2">
      <c r="A381" s="116"/>
      <c r="B381" s="116"/>
    </row>
    <row r="382" spans="1:2" x14ac:dyDescent="0.2">
      <c r="A382" s="116"/>
      <c r="B382" s="116"/>
    </row>
    <row r="383" spans="1:2" x14ac:dyDescent="0.2">
      <c r="A383" s="116"/>
      <c r="B383" s="116"/>
    </row>
    <row r="384" spans="1:2" x14ac:dyDescent="0.2">
      <c r="A384" s="116"/>
      <c r="B384" s="116"/>
    </row>
    <row r="385" spans="1:2" x14ac:dyDescent="0.2">
      <c r="A385" s="116"/>
      <c r="B385" s="116"/>
    </row>
    <row r="386" spans="1:2" x14ac:dyDescent="0.2">
      <c r="A386" s="116"/>
      <c r="B386" s="116"/>
    </row>
    <row r="387" spans="1:2" x14ac:dyDescent="0.2">
      <c r="A387" s="116"/>
      <c r="B387" s="116"/>
    </row>
    <row r="388" spans="1:2" x14ac:dyDescent="0.2">
      <c r="A388" s="116"/>
      <c r="B388" s="116"/>
    </row>
    <row r="389" spans="1:2" x14ac:dyDescent="0.2">
      <c r="A389" s="116"/>
      <c r="B389" s="116"/>
    </row>
    <row r="390" spans="1:2" x14ac:dyDescent="0.2">
      <c r="A390" s="116"/>
      <c r="B390" s="116"/>
    </row>
    <row r="391" spans="1:2" x14ac:dyDescent="0.2">
      <c r="A391" s="116"/>
      <c r="B391" s="116"/>
    </row>
    <row r="392" spans="1:2" x14ac:dyDescent="0.2">
      <c r="A392" s="116"/>
      <c r="B392" s="116"/>
    </row>
    <row r="393" spans="1:2" x14ac:dyDescent="0.2">
      <c r="A393" s="116"/>
      <c r="B393" s="116"/>
    </row>
    <row r="394" spans="1:2" x14ac:dyDescent="0.2">
      <c r="A394" s="116"/>
      <c r="B394" s="116"/>
    </row>
    <row r="395" spans="1:2" x14ac:dyDescent="0.2">
      <c r="A395" s="116"/>
      <c r="B395" s="116"/>
    </row>
    <row r="396" spans="1:2" x14ac:dyDescent="0.2">
      <c r="A396" s="116"/>
      <c r="B396" s="116"/>
    </row>
    <row r="397" spans="1:2" x14ac:dyDescent="0.2">
      <c r="A397" s="116"/>
      <c r="B397" s="116"/>
    </row>
    <row r="398" spans="1:2" x14ac:dyDescent="0.2">
      <c r="A398" s="116"/>
      <c r="B398" s="116"/>
    </row>
    <row r="399" spans="1:2" x14ac:dyDescent="0.2">
      <c r="A399" s="116"/>
      <c r="B399" s="116"/>
    </row>
    <row r="400" spans="1:2" x14ac:dyDescent="0.2">
      <c r="A400" s="116"/>
      <c r="B400" s="116"/>
    </row>
    <row r="401" spans="1:2" x14ac:dyDescent="0.2">
      <c r="A401" s="116"/>
      <c r="B401" s="116"/>
    </row>
    <row r="402" spans="1:2" x14ac:dyDescent="0.2">
      <c r="A402" s="116"/>
      <c r="B402" s="116"/>
    </row>
    <row r="403" spans="1:2" x14ac:dyDescent="0.2">
      <c r="A403" s="116"/>
      <c r="B403" s="116"/>
    </row>
    <row r="404" spans="1:2" x14ac:dyDescent="0.2">
      <c r="A404" s="116"/>
      <c r="B404" s="116"/>
    </row>
    <row r="405" spans="1:2" x14ac:dyDescent="0.2">
      <c r="A405" s="116"/>
      <c r="B405" s="116"/>
    </row>
    <row r="406" spans="1:2" x14ac:dyDescent="0.2">
      <c r="A406" s="116"/>
      <c r="B406" s="116"/>
    </row>
  </sheetData>
  <sheetProtection formatCells="0" formatColumns="0" formatRows="0" insertColumns="0" insertRows="0" insertHyperlinks="0" deleteColumns="0" deleteRows="0" selectLockedCells="1" sort="0" autoFilter="0" pivotTables="0"/>
  <mergeCells count="57">
    <mergeCell ref="H1:AA1"/>
    <mergeCell ref="I2:O2"/>
    <mergeCell ref="I3:O3"/>
    <mergeCell ref="P3:Q3"/>
    <mergeCell ref="L7:N7"/>
    <mergeCell ref="Y3:AA3"/>
    <mergeCell ref="W3:X3"/>
    <mergeCell ref="R3:V3"/>
    <mergeCell ref="A27:B27"/>
    <mergeCell ref="H20:AD20"/>
    <mergeCell ref="AD27:AE27"/>
    <mergeCell ref="A26:AE26"/>
    <mergeCell ref="D27:I27"/>
    <mergeCell ref="A25:G25"/>
    <mergeCell ref="B22:G22"/>
    <mergeCell ref="J27:K27"/>
    <mergeCell ref="L27:N27"/>
    <mergeCell ref="H22:R22"/>
    <mergeCell ref="X22:AD22"/>
    <mergeCell ref="O27:Q27"/>
    <mergeCell ref="Y18:AD18"/>
    <mergeCell ref="P14:Q14"/>
    <mergeCell ref="S14:T14"/>
    <mergeCell ref="V14:X14"/>
    <mergeCell ref="B12:G12"/>
    <mergeCell ref="H12:L12"/>
    <mergeCell ref="H14:L14"/>
    <mergeCell ref="B14:G14"/>
    <mergeCell ref="Y12:AD12"/>
    <mergeCell ref="M12:O12"/>
    <mergeCell ref="X2:AA2"/>
    <mergeCell ref="Y7:AD7"/>
    <mergeCell ref="R7:V7"/>
    <mergeCell ref="O7:Q7"/>
    <mergeCell ref="B7:G7"/>
    <mergeCell ref="H7:J7"/>
    <mergeCell ref="U12:X12"/>
    <mergeCell ref="A5:AE5"/>
    <mergeCell ref="A10:AE10"/>
    <mergeCell ref="B16:G16"/>
    <mergeCell ref="P12:T12"/>
    <mergeCell ref="AB1:AE3"/>
    <mergeCell ref="AB14:AD14"/>
    <mergeCell ref="Y16:AD16"/>
    <mergeCell ref="Y27:AB27"/>
    <mergeCell ref="T16:X16"/>
    <mergeCell ref="T18:X18"/>
    <mergeCell ref="S27:V27"/>
    <mergeCell ref="Y14:AA14"/>
    <mergeCell ref="F24:AE24"/>
    <mergeCell ref="A1:G3"/>
    <mergeCell ref="H18:R18"/>
    <mergeCell ref="H16:R16"/>
    <mergeCell ref="R2:V2"/>
    <mergeCell ref="B20:G20"/>
    <mergeCell ref="B18:G18"/>
    <mergeCell ref="P2:Q2"/>
  </mergeCells>
  <printOptions horizontalCentered="1" gridLinesSet="0"/>
  <pageMargins left="0.19685039370078741" right="0.19685039370078741" top="0.19685039370078741" bottom="0.35433070866141736" header="0.11811023622047245" footer="0.19685039370078741"/>
  <pageSetup paperSize="8" scale="68" fitToHeight="0" orientation="landscape" r:id="rId1"/>
  <headerFooter>
    <oddFooter>&amp;R&amp;"Arial,Normal"&amp;10Página &amp;P de &amp;N</oddFooter>
  </headerFooter>
  <ignoredErrors>
    <ignoredError sqref="X2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1000000}">
          <x14:formula1>
            <xm:f>Datos!$B$3:$D$3</xm:f>
          </x14:formula1>
          <xm:sqref>H14:L14</xm:sqref>
        </x14:dataValidation>
        <x14:dataValidation type="list" allowBlank="1" showInputMessage="1" showErrorMessage="1" xr:uid="{C8416165-8D38-4A97-BFBD-6CA2707881AE}">
          <x14:formula1>
            <xm:f>Datos!$A$12:$A$60</xm:f>
          </x14:formula1>
          <xm:sqref>Y12:AD12</xm:sqref>
        </x14:dataValidation>
        <x14:dataValidation type="list" allowBlank="1" showInputMessage="1" showErrorMessage="1" xr:uid="{828CD812-D676-40BB-A733-06B2AF5B625C}">
          <x14:formula1>
            <xm:f>Datos!$C$12:$C$30</xm:f>
          </x14:formula1>
          <xm:sqref>H12:L12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topLeftCell="B11" workbookViewId="0">
      <selection activeCell="B8" sqref="B8"/>
    </sheetView>
  </sheetViews>
  <sheetFormatPr defaultColWidth="11.5703125" defaultRowHeight="15" x14ac:dyDescent="0.25"/>
  <cols>
    <col min="1" max="2" width="44.5703125" customWidth="1"/>
    <col min="3" max="3" width="5.5703125" customWidth="1"/>
    <col min="4" max="5" width="44.5703125" customWidth="1"/>
  </cols>
  <sheetData>
    <row r="1" spans="1:5" x14ac:dyDescent="0.25">
      <c r="A1" s="212" t="s">
        <v>114</v>
      </c>
      <c r="B1" s="213"/>
      <c r="D1" s="212" t="s">
        <v>115</v>
      </c>
      <c r="E1" s="213"/>
    </row>
    <row r="2" spans="1:5" s="4" customFormat="1" ht="25.5" x14ac:dyDescent="0.25">
      <c r="A2" s="5" t="s">
        <v>112</v>
      </c>
      <c r="B2" s="5" t="s">
        <v>113</v>
      </c>
      <c r="D2" s="5" t="s">
        <v>116</v>
      </c>
      <c r="E2" s="5" t="s">
        <v>117</v>
      </c>
    </row>
    <row r="3" spans="1:5" ht="22.5" x14ac:dyDescent="0.25">
      <c r="A3" s="6" t="s">
        <v>39</v>
      </c>
      <c r="B3" s="6" t="s">
        <v>55</v>
      </c>
      <c r="D3" s="7" t="s">
        <v>76</v>
      </c>
      <c r="E3" s="6" t="s">
        <v>111</v>
      </c>
    </row>
    <row r="4" spans="1:5" ht="22.5" x14ac:dyDescent="0.25">
      <c r="A4" s="6" t="s">
        <v>40</v>
      </c>
      <c r="B4" s="6" t="s">
        <v>56</v>
      </c>
      <c r="D4" s="7" t="s">
        <v>77</v>
      </c>
      <c r="E4" s="6" t="s">
        <v>110</v>
      </c>
    </row>
    <row r="5" spans="1:5" ht="22.5" x14ac:dyDescent="0.25">
      <c r="A5" s="6" t="s">
        <v>41</v>
      </c>
      <c r="B5" s="6" t="s">
        <v>57</v>
      </c>
      <c r="D5" s="7" t="s">
        <v>78</v>
      </c>
      <c r="E5" s="6" t="s">
        <v>109</v>
      </c>
    </row>
    <row r="6" spans="1:5" x14ac:dyDescent="0.25">
      <c r="A6" s="6" t="s">
        <v>42</v>
      </c>
      <c r="B6" s="6" t="s">
        <v>58</v>
      </c>
      <c r="D6" s="7" t="s">
        <v>79</v>
      </c>
      <c r="E6" s="6" t="s">
        <v>108</v>
      </c>
    </row>
    <row r="7" spans="1:5" ht="22.5" x14ac:dyDescent="0.25">
      <c r="A7" s="6" t="s">
        <v>43</v>
      </c>
      <c r="B7" s="6" t="s">
        <v>59</v>
      </c>
      <c r="D7" s="7" t="s">
        <v>80</v>
      </c>
      <c r="E7" s="6" t="s">
        <v>94</v>
      </c>
    </row>
    <row r="8" spans="1:5" ht="22.5" x14ac:dyDescent="0.25">
      <c r="A8" s="6" t="s">
        <v>44</v>
      </c>
      <c r="B8" s="6" t="s">
        <v>60</v>
      </c>
      <c r="D8" s="7" t="s">
        <v>81</v>
      </c>
      <c r="E8" s="6" t="s">
        <v>107</v>
      </c>
    </row>
    <row r="9" spans="1:5" ht="22.5" x14ac:dyDescent="0.25">
      <c r="A9" s="6" t="s">
        <v>45</v>
      </c>
      <c r="B9" s="6" t="s">
        <v>61</v>
      </c>
      <c r="D9" s="7" t="s">
        <v>82</v>
      </c>
      <c r="E9" s="6" t="s">
        <v>106</v>
      </c>
    </row>
    <row r="10" spans="1:5" ht="22.5" x14ac:dyDescent="0.25">
      <c r="A10" s="6" t="s">
        <v>46</v>
      </c>
      <c r="B10" s="6" t="s">
        <v>62</v>
      </c>
      <c r="D10" s="7" t="s">
        <v>83</v>
      </c>
      <c r="E10" s="6" t="s">
        <v>105</v>
      </c>
    </row>
    <row r="11" spans="1:5" x14ac:dyDescent="0.25">
      <c r="A11" s="6" t="s">
        <v>47</v>
      </c>
      <c r="B11" s="6" t="s">
        <v>63</v>
      </c>
      <c r="D11" s="7" t="s">
        <v>84</v>
      </c>
      <c r="E11" s="6" t="s">
        <v>104</v>
      </c>
    </row>
    <row r="12" spans="1:5" x14ac:dyDescent="0.25">
      <c r="A12" s="6" t="s">
        <v>48</v>
      </c>
      <c r="B12" s="6" t="s">
        <v>64</v>
      </c>
      <c r="D12" s="7" t="s">
        <v>85</v>
      </c>
      <c r="E12" s="6" t="s">
        <v>103</v>
      </c>
    </row>
    <row r="13" spans="1:5" ht="22.5" x14ac:dyDescent="0.25">
      <c r="A13" s="6" t="s">
        <v>49</v>
      </c>
      <c r="B13" s="6" t="s">
        <v>66</v>
      </c>
      <c r="D13" s="7" t="s">
        <v>86</v>
      </c>
      <c r="E13" s="6" t="s">
        <v>102</v>
      </c>
    </row>
    <row r="14" spans="1:5" x14ac:dyDescent="0.25">
      <c r="A14" s="6" t="s">
        <v>50</v>
      </c>
      <c r="B14" s="6" t="s">
        <v>65</v>
      </c>
      <c r="D14" s="7" t="s">
        <v>87</v>
      </c>
      <c r="E14" s="6" t="s">
        <v>101</v>
      </c>
    </row>
    <row r="15" spans="1:5" x14ac:dyDescent="0.25">
      <c r="A15" s="6" t="s">
        <v>51</v>
      </c>
      <c r="B15" s="6" t="s">
        <v>67</v>
      </c>
      <c r="D15" s="7" t="s">
        <v>88</v>
      </c>
      <c r="E15" s="6" t="s">
        <v>100</v>
      </c>
    </row>
    <row r="16" spans="1:5" x14ac:dyDescent="0.25">
      <c r="A16" s="6" t="s">
        <v>52</v>
      </c>
      <c r="B16" s="6" t="s">
        <v>68</v>
      </c>
      <c r="D16" s="7" t="s">
        <v>89</v>
      </c>
      <c r="E16" s="6" t="s">
        <v>99</v>
      </c>
    </row>
    <row r="17" spans="1:5" ht="22.5" x14ac:dyDescent="0.25">
      <c r="A17" s="6" t="s">
        <v>53</v>
      </c>
      <c r="B17" s="6" t="s">
        <v>69</v>
      </c>
      <c r="D17" s="7" t="s">
        <v>90</v>
      </c>
      <c r="E17" s="6" t="s">
        <v>98</v>
      </c>
    </row>
    <row r="18" spans="1:5" x14ac:dyDescent="0.25">
      <c r="A18" s="6" t="s">
        <v>54</v>
      </c>
      <c r="B18" s="6" t="s">
        <v>70</v>
      </c>
      <c r="D18" s="7" t="s">
        <v>91</v>
      </c>
      <c r="E18" s="6" t="s">
        <v>97</v>
      </c>
    </row>
    <row r="19" spans="1:5" x14ac:dyDescent="0.25">
      <c r="B19" s="6" t="s">
        <v>71</v>
      </c>
      <c r="D19" s="7" t="s">
        <v>92</v>
      </c>
      <c r="E19" s="6" t="s">
        <v>96</v>
      </c>
    </row>
    <row r="20" spans="1:5" ht="22.5" x14ac:dyDescent="0.25">
      <c r="B20" s="6" t="s">
        <v>72</v>
      </c>
      <c r="D20" s="7" t="s">
        <v>93</v>
      </c>
      <c r="E20" s="6" t="s">
        <v>95</v>
      </c>
    </row>
    <row r="21" spans="1:5" x14ac:dyDescent="0.25">
      <c r="B21" s="6" t="s">
        <v>73</v>
      </c>
    </row>
    <row r="22" spans="1:5" x14ac:dyDescent="0.25">
      <c r="B22" s="6" t="s">
        <v>74</v>
      </c>
    </row>
    <row r="23" spans="1:5" x14ac:dyDescent="0.25">
      <c r="B23" s="6" t="s">
        <v>75</v>
      </c>
    </row>
  </sheetData>
  <sheetProtection password="D81E" sheet="1" objects="1" scenarios="1" formatCells="0" formatColumns="0" formatRows="0" insertColumns="0" insertRows="0" insertHyperlinks="0" deleteColumns="0" deleteRows="0" sort="0" autoFilter="0" pivotTables="0"/>
  <mergeCells count="2">
    <mergeCell ref="A1:B1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K38"/>
  <sheetViews>
    <sheetView showGridLines="0" view="pageBreakPreview" zoomScaleNormal="100" zoomScaleSheetLayoutView="100" workbookViewId="0">
      <selection activeCell="C5" sqref="C5"/>
    </sheetView>
  </sheetViews>
  <sheetFormatPr defaultColWidth="9.28515625" defaultRowHeight="12.75" x14ac:dyDescent="0.2"/>
  <cols>
    <col min="1" max="1" width="14.28515625" style="33" customWidth="1"/>
    <col min="2" max="2" width="7.7109375" style="33" customWidth="1"/>
    <col min="3" max="3" width="52.28515625" style="33" customWidth="1"/>
    <col min="4" max="4" width="73" style="33" customWidth="1"/>
    <col min="5" max="5" width="37.7109375" style="33" customWidth="1"/>
    <col min="6" max="6" width="15.42578125" style="33" hidden="1" customWidth="1"/>
    <col min="7" max="7" width="9.42578125" style="32" hidden="1" customWidth="1"/>
    <col min="8" max="8" width="15" style="32" hidden="1" customWidth="1"/>
    <col min="9" max="11" width="9.28515625" style="32" hidden="1" customWidth="1"/>
    <col min="12" max="12" width="20.7109375" style="32" hidden="1" customWidth="1"/>
    <col min="13" max="13" width="13.5703125" style="32" hidden="1" customWidth="1"/>
    <col min="14" max="14" width="21.5703125" style="32" hidden="1" customWidth="1"/>
    <col min="15" max="15" width="49.7109375" style="32" hidden="1" customWidth="1"/>
    <col min="16" max="16" width="9.28515625" style="32" hidden="1" customWidth="1"/>
    <col min="17" max="35" width="9.28515625" style="32" customWidth="1"/>
    <col min="36" max="256" width="9.28515625" style="32"/>
    <col min="257" max="257" width="14.28515625" style="32" customWidth="1"/>
    <col min="258" max="258" width="7.7109375" style="32" customWidth="1"/>
    <col min="259" max="259" width="52.28515625" style="32" customWidth="1"/>
    <col min="260" max="260" width="73" style="32" customWidth="1"/>
    <col min="261" max="261" width="37.7109375" style="32" customWidth="1"/>
    <col min="262" max="272" width="0" style="32" hidden="1"/>
    <col min="273" max="291" width="9.28515625" style="32" customWidth="1"/>
    <col min="292" max="512" width="9.28515625" style="32"/>
    <col min="513" max="513" width="14.28515625" style="32" customWidth="1"/>
    <col min="514" max="514" width="7.7109375" style="32" customWidth="1"/>
    <col min="515" max="515" width="52.28515625" style="32" customWidth="1"/>
    <col min="516" max="516" width="73" style="32" customWidth="1"/>
    <col min="517" max="517" width="37.7109375" style="32" customWidth="1"/>
    <col min="518" max="528" width="0" style="32" hidden="1"/>
    <col min="529" max="547" width="9.28515625" style="32" customWidth="1"/>
    <col min="548" max="768" width="9.28515625" style="32"/>
    <col min="769" max="769" width="14.28515625" style="32" customWidth="1"/>
    <col min="770" max="770" width="7.7109375" style="32" customWidth="1"/>
    <col min="771" max="771" width="52.28515625" style="32" customWidth="1"/>
    <col min="772" max="772" width="73" style="32" customWidth="1"/>
    <col min="773" max="773" width="37.7109375" style="32" customWidth="1"/>
    <col min="774" max="784" width="0" style="32" hidden="1"/>
    <col min="785" max="803" width="9.28515625" style="32" customWidth="1"/>
    <col min="804" max="1024" width="9.28515625" style="32"/>
    <col min="1025" max="1025" width="14.28515625" style="32" customWidth="1"/>
    <col min="1026" max="1026" width="7.7109375" style="32" customWidth="1"/>
    <col min="1027" max="1027" width="52.28515625" style="32" customWidth="1"/>
    <col min="1028" max="1028" width="73" style="32" customWidth="1"/>
    <col min="1029" max="1029" width="37.7109375" style="32" customWidth="1"/>
    <col min="1030" max="1040" width="0" style="32" hidden="1"/>
    <col min="1041" max="1059" width="9.28515625" style="32" customWidth="1"/>
    <col min="1060" max="1280" width="9.28515625" style="32"/>
    <col min="1281" max="1281" width="14.28515625" style="32" customWidth="1"/>
    <col min="1282" max="1282" width="7.7109375" style="32" customWidth="1"/>
    <col min="1283" max="1283" width="52.28515625" style="32" customWidth="1"/>
    <col min="1284" max="1284" width="73" style="32" customWidth="1"/>
    <col min="1285" max="1285" width="37.7109375" style="32" customWidth="1"/>
    <col min="1286" max="1296" width="0" style="32" hidden="1"/>
    <col min="1297" max="1315" width="9.28515625" style="32" customWidth="1"/>
    <col min="1316" max="1536" width="9.28515625" style="32"/>
    <col min="1537" max="1537" width="14.28515625" style="32" customWidth="1"/>
    <col min="1538" max="1538" width="7.7109375" style="32" customWidth="1"/>
    <col min="1539" max="1539" width="52.28515625" style="32" customWidth="1"/>
    <col min="1540" max="1540" width="73" style="32" customWidth="1"/>
    <col min="1541" max="1541" width="37.7109375" style="32" customWidth="1"/>
    <col min="1542" max="1552" width="0" style="32" hidden="1"/>
    <col min="1553" max="1571" width="9.28515625" style="32" customWidth="1"/>
    <col min="1572" max="1792" width="9.28515625" style="32"/>
    <col min="1793" max="1793" width="14.28515625" style="32" customWidth="1"/>
    <col min="1794" max="1794" width="7.7109375" style="32" customWidth="1"/>
    <col min="1795" max="1795" width="52.28515625" style="32" customWidth="1"/>
    <col min="1796" max="1796" width="73" style="32" customWidth="1"/>
    <col min="1797" max="1797" width="37.7109375" style="32" customWidth="1"/>
    <col min="1798" max="1808" width="0" style="32" hidden="1"/>
    <col min="1809" max="1827" width="9.28515625" style="32" customWidth="1"/>
    <col min="1828" max="2048" width="9.28515625" style="32"/>
    <col min="2049" max="2049" width="14.28515625" style="32" customWidth="1"/>
    <col min="2050" max="2050" width="7.7109375" style="32" customWidth="1"/>
    <col min="2051" max="2051" width="52.28515625" style="32" customWidth="1"/>
    <col min="2052" max="2052" width="73" style="32" customWidth="1"/>
    <col min="2053" max="2053" width="37.7109375" style="32" customWidth="1"/>
    <col min="2054" max="2064" width="0" style="32" hidden="1"/>
    <col min="2065" max="2083" width="9.28515625" style="32" customWidth="1"/>
    <col min="2084" max="2304" width="9.28515625" style="32"/>
    <col min="2305" max="2305" width="14.28515625" style="32" customWidth="1"/>
    <col min="2306" max="2306" width="7.7109375" style="32" customWidth="1"/>
    <col min="2307" max="2307" width="52.28515625" style="32" customWidth="1"/>
    <col min="2308" max="2308" width="73" style="32" customWidth="1"/>
    <col min="2309" max="2309" width="37.7109375" style="32" customWidth="1"/>
    <col min="2310" max="2320" width="0" style="32" hidden="1"/>
    <col min="2321" max="2339" width="9.28515625" style="32" customWidth="1"/>
    <col min="2340" max="2560" width="9.28515625" style="32"/>
    <col min="2561" max="2561" width="14.28515625" style="32" customWidth="1"/>
    <col min="2562" max="2562" width="7.7109375" style="32" customWidth="1"/>
    <col min="2563" max="2563" width="52.28515625" style="32" customWidth="1"/>
    <col min="2564" max="2564" width="73" style="32" customWidth="1"/>
    <col min="2565" max="2565" width="37.7109375" style="32" customWidth="1"/>
    <col min="2566" max="2576" width="0" style="32" hidden="1"/>
    <col min="2577" max="2595" width="9.28515625" style="32" customWidth="1"/>
    <col min="2596" max="2816" width="9.28515625" style="32"/>
    <col min="2817" max="2817" width="14.28515625" style="32" customWidth="1"/>
    <col min="2818" max="2818" width="7.7109375" style="32" customWidth="1"/>
    <col min="2819" max="2819" width="52.28515625" style="32" customWidth="1"/>
    <col min="2820" max="2820" width="73" style="32" customWidth="1"/>
    <col min="2821" max="2821" width="37.7109375" style="32" customWidth="1"/>
    <col min="2822" max="2832" width="0" style="32" hidden="1"/>
    <col min="2833" max="2851" width="9.28515625" style="32" customWidth="1"/>
    <col min="2852" max="3072" width="9.28515625" style="32"/>
    <col min="3073" max="3073" width="14.28515625" style="32" customWidth="1"/>
    <col min="3074" max="3074" width="7.7109375" style="32" customWidth="1"/>
    <col min="3075" max="3075" width="52.28515625" style="32" customWidth="1"/>
    <col min="3076" max="3076" width="73" style="32" customWidth="1"/>
    <col min="3077" max="3077" width="37.7109375" style="32" customWidth="1"/>
    <col min="3078" max="3088" width="0" style="32" hidden="1"/>
    <col min="3089" max="3107" width="9.28515625" style="32" customWidth="1"/>
    <col min="3108" max="3328" width="9.28515625" style="32"/>
    <col min="3329" max="3329" width="14.28515625" style="32" customWidth="1"/>
    <col min="3330" max="3330" width="7.7109375" style="32" customWidth="1"/>
    <col min="3331" max="3331" width="52.28515625" style="32" customWidth="1"/>
    <col min="3332" max="3332" width="73" style="32" customWidth="1"/>
    <col min="3333" max="3333" width="37.7109375" style="32" customWidth="1"/>
    <col min="3334" max="3344" width="0" style="32" hidden="1"/>
    <col min="3345" max="3363" width="9.28515625" style="32" customWidth="1"/>
    <col min="3364" max="3584" width="9.28515625" style="32"/>
    <col min="3585" max="3585" width="14.28515625" style="32" customWidth="1"/>
    <col min="3586" max="3586" width="7.7109375" style="32" customWidth="1"/>
    <col min="3587" max="3587" width="52.28515625" style="32" customWidth="1"/>
    <col min="3588" max="3588" width="73" style="32" customWidth="1"/>
    <col min="3589" max="3589" width="37.7109375" style="32" customWidth="1"/>
    <col min="3590" max="3600" width="0" style="32" hidden="1"/>
    <col min="3601" max="3619" width="9.28515625" style="32" customWidth="1"/>
    <col min="3620" max="3840" width="9.28515625" style="32"/>
    <col min="3841" max="3841" width="14.28515625" style="32" customWidth="1"/>
    <col min="3842" max="3842" width="7.7109375" style="32" customWidth="1"/>
    <col min="3843" max="3843" width="52.28515625" style="32" customWidth="1"/>
    <col min="3844" max="3844" width="73" style="32" customWidth="1"/>
    <col min="3845" max="3845" width="37.7109375" style="32" customWidth="1"/>
    <col min="3846" max="3856" width="0" style="32" hidden="1"/>
    <col min="3857" max="3875" width="9.28515625" style="32" customWidth="1"/>
    <col min="3876" max="4096" width="9.28515625" style="32"/>
    <col min="4097" max="4097" width="14.28515625" style="32" customWidth="1"/>
    <col min="4098" max="4098" width="7.7109375" style="32" customWidth="1"/>
    <col min="4099" max="4099" width="52.28515625" style="32" customWidth="1"/>
    <col min="4100" max="4100" width="73" style="32" customWidth="1"/>
    <col min="4101" max="4101" width="37.7109375" style="32" customWidth="1"/>
    <col min="4102" max="4112" width="0" style="32" hidden="1"/>
    <col min="4113" max="4131" width="9.28515625" style="32" customWidth="1"/>
    <col min="4132" max="4352" width="9.28515625" style="32"/>
    <col min="4353" max="4353" width="14.28515625" style="32" customWidth="1"/>
    <col min="4354" max="4354" width="7.7109375" style="32" customWidth="1"/>
    <col min="4355" max="4355" width="52.28515625" style="32" customWidth="1"/>
    <col min="4356" max="4356" width="73" style="32" customWidth="1"/>
    <col min="4357" max="4357" width="37.7109375" style="32" customWidth="1"/>
    <col min="4358" max="4368" width="0" style="32" hidden="1"/>
    <col min="4369" max="4387" width="9.28515625" style="32" customWidth="1"/>
    <col min="4388" max="4608" width="9.28515625" style="32"/>
    <col min="4609" max="4609" width="14.28515625" style="32" customWidth="1"/>
    <col min="4610" max="4610" width="7.7109375" style="32" customWidth="1"/>
    <col min="4611" max="4611" width="52.28515625" style="32" customWidth="1"/>
    <col min="4612" max="4612" width="73" style="32" customWidth="1"/>
    <col min="4613" max="4613" width="37.7109375" style="32" customWidth="1"/>
    <col min="4614" max="4624" width="0" style="32" hidden="1"/>
    <col min="4625" max="4643" width="9.28515625" style="32" customWidth="1"/>
    <col min="4644" max="4864" width="9.28515625" style="32"/>
    <col min="4865" max="4865" width="14.28515625" style="32" customWidth="1"/>
    <col min="4866" max="4866" width="7.7109375" style="32" customWidth="1"/>
    <col min="4867" max="4867" width="52.28515625" style="32" customWidth="1"/>
    <col min="4868" max="4868" width="73" style="32" customWidth="1"/>
    <col min="4869" max="4869" width="37.7109375" style="32" customWidth="1"/>
    <col min="4870" max="4880" width="0" style="32" hidden="1"/>
    <col min="4881" max="4899" width="9.28515625" style="32" customWidth="1"/>
    <col min="4900" max="5120" width="9.28515625" style="32"/>
    <col min="5121" max="5121" width="14.28515625" style="32" customWidth="1"/>
    <col min="5122" max="5122" width="7.7109375" style="32" customWidth="1"/>
    <col min="5123" max="5123" width="52.28515625" style="32" customWidth="1"/>
    <col min="5124" max="5124" width="73" style="32" customWidth="1"/>
    <col min="5125" max="5125" width="37.7109375" style="32" customWidth="1"/>
    <col min="5126" max="5136" width="0" style="32" hidden="1"/>
    <col min="5137" max="5155" width="9.28515625" style="32" customWidth="1"/>
    <col min="5156" max="5376" width="9.28515625" style="32"/>
    <col min="5377" max="5377" width="14.28515625" style="32" customWidth="1"/>
    <col min="5378" max="5378" width="7.7109375" style="32" customWidth="1"/>
    <col min="5379" max="5379" width="52.28515625" style="32" customWidth="1"/>
    <col min="5380" max="5380" width="73" style="32" customWidth="1"/>
    <col min="5381" max="5381" width="37.7109375" style="32" customWidth="1"/>
    <col min="5382" max="5392" width="0" style="32" hidden="1"/>
    <col min="5393" max="5411" width="9.28515625" style="32" customWidth="1"/>
    <col min="5412" max="5632" width="9.28515625" style="32"/>
    <col min="5633" max="5633" width="14.28515625" style="32" customWidth="1"/>
    <col min="5634" max="5634" width="7.7109375" style="32" customWidth="1"/>
    <col min="5635" max="5635" width="52.28515625" style="32" customWidth="1"/>
    <col min="5636" max="5636" width="73" style="32" customWidth="1"/>
    <col min="5637" max="5637" width="37.7109375" style="32" customWidth="1"/>
    <col min="5638" max="5648" width="0" style="32" hidden="1"/>
    <col min="5649" max="5667" width="9.28515625" style="32" customWidth="1"/>
    <col min="5668" max="5888" width="9.28515625" style="32"/>
    <col min="5889" max="5889" width="14.28515625" style="32" customWidth="1"/>
    <col min="5890" max="5890" width="7.7109375" style="32" customWidth="1"/>
    <col min="5891" max="5891" width="52.28515625" style="32" customWidth="1"/>
    <col min="5892" max="5892" width="73" style="32" customWidth="1"/>
    <col min="5893" max="5893" width="37.7109375" style="32" customWidth="1"/>
    <col min="5894" max="5904" width="0" style="32" hidden="1"/>
    <col min="5905" max="5923" width="9.28515625" style="32" customWidth="1"/>
    <col min="5924" max="6144" width="9.28515625" style="32"/>
    <col min="6145" max="6145" width="14.28515625" style="32" customWidth="1"/>
    <col min="6146" max="6146" width="7.7109375" style="32" customWidth="1"/>
    <col min="6147" max="6147" width="52.28515625" style="32" customWidth="1"/>
    <col min="6148" max="6148" width="73" style="32" customWidth="1"/>
    <col min="6149" max="6149" width="37.7109375" style="32" customWidth="1"/>
    <col min="6150" max="6160" width="0" style="32" hidden="1"/>
    <col min="6161" max="6179" width="9.28515625" style="32" customWidth="1"/>
    <col min="6180" max="6400" width="9.28515625" style="32"/>
    <col min="6401" max="6401" width="14.28515625" style="32" customWidth="1"/>
    <col min="6402" max="6402" width="7.7109375" style="32" customWidth="1"/>
    <col min="6403" max="6403" width="52.28515625" style="32" customWidth="1"/>
    <col min="6404" max="6404" width="73" style="32" customWidth="1"/>
    <col min="6405" max="6405" width="37.7109375" style="32" customWidth="1"/>
    <col min="6406" max="6416" width="0" style="32" hidden="1"/>
    <col min="6417" max="6435" width="9.28515625" style="32" customWidth="1"/>
    <col min="6436" max="6656" width="9.28515625" style="32"/>
    <col min="6657" max="6657" width="14.28515625" style="32" customWidth="1"/>
    <col min="6658" max="6658" width="7.7109375" style="32" customWidth="1"/>
    <col min="6659" max="6659" width="52.28515625" style="32" customWidth="1"/>
    <col min="6660" max="6660" width="73" style="32" customWidth="1"/>
    <col min="6661" max="6661" width="37.7109375" style="32" customWidth="1"/>
    <col min="6662" max="6672" width="0" style="32" hidden="1"/>
    <col min="6673" max="6691" width="9.28515625" style="32" customWidth="1"/>
    <col min="6692" max="6912" width="9.28515625" style="32"/>
    <col min="6913" max="6913" width="14.28515625" style="32" customWidth="1"/>
    <col min="6914" max="6914" width="7.7109375" style="32" customWidth="1"/>
    <col min="6915" max="6915" width="52.28515625" style="32" customWidth="1"/>
    <col min="6916" max="6916" width="73" style="32" customWidth="1"/>
    <col min="6917" max="6917" width="37.7109375" style="32" customWidth="1"/>
    <col min="6918" max="6928" width="0" style="32" hidden="1"/>
    <col min="6929" max="6947" width="9.28515625" style="32" customWidth="1"/>
    <col min="6948" max="7168" width="9.28515625" style="32"/>
    <col min="7169" max="7169" width="14.28515625" style="32" customWidth="1"/>
    <col min="7170" max="7170" width="7.7109375" style="32" customWidth="1"/>
    <col min="7171" max="7171" width="52.28515625" style="32" customWidth="1"/>
    <col min="7172" max="7172" width="73" style="32" customWidth="1"/>
    <col min="7173" max="7173" width="37.7109375" style="32" customWidth="1"/>
    <col min="7174" max="7184" width="0" style="32" hidden="1"/>
    <col min="7185" max="7203" width="9.28515625" style="32" customWidth="1"/>
    <col min="7204" max="7424" width="9.28515625" style="32"/>
    <col min="7425" max="7425" width="14.28515625" style="32" customWidth="1"/>
    <col min="7426" max="7426" width="7.7109375" style="32" customWidth="1"/>
    <col min="7427" max="7427" width="52.28515625" style="32" customWidth="1"/>
    <col min="7428" max="7428" width="73" style="32" customWidth="1"/>
    <col min="7429" max="7429" width="37.7109375" style="32" customWidth="1"/>
    <col min="7430" max="7440" width="0" style="32" hidden="1"/>
    <col min="7441" max="7459" width="9.28515625" style="32" customWidth="1"/>
    <col min="7460" max="7680" width="9.28515625" style="32"/>
    <col min="7681" max="7681" width="14.28515625" style="32" customWidth="1"/>
    <col min="7682" max="7682" width="7.7109375" style="32" customWidth="1"/>
    <col min="7683" max="7683" width="52.28515625" style="32" customWidth="1"/>
    <col min="7684" max="7684" width="73" style="32" customWidth="1"/>
    <col min="7685" max="7685" width="37.7109375" style="32" customWidth="1"/>
    <col min="7686" max="7696" width="0" style="32" hidden="1"/>
    <col min="7697" max="7715" width="9.28515625" style="32" customWidth="1"/>
    <col min="7716" max="7936" width="9.28515625" style="32"/>
    <col min="7937" max="7937" width="14.28515625" style="32" customWidth="1"/>
    <col min="7938" max="7938" width="7.7109375" style="32" customWidth="1"/>
    <col min="7939" max="7939" width="52.28515625" style="32" customWidth="1"/>
    <col min="7940" max="7940" width="73" style="32" customWidth="1"/>
    <col min="7941" max="7941" width="37.7109375" style="32" customWidth="1"/>
    <col min="7942" max="7952" width="0" style="32" hidden="1"/>
    <col min="7953" max="7971" width="9.28515625" style="32" customWidth="1"/>
    <col min="7972" max="8192" width="9.28515625" style="32"/>
    <col min="8193" max="8193" width="14.28515625" style="32" customWidth="1"/>
    <col min="8194" max="8194" width="7.7109375" style="32" customWidth="1"/>
    <col min="8195" max="8195" width="52.28515625" style="32" customWidth="1"/>
    <col min="8196" max="8196" width="73" style="32" customWidth="1"/>
    <col min="8197" max="8197" width="37.7109375" style="32" customWidth="1"/>
    <col min="8198" max="8208" width="0" style="32" hidden="1"/>
    <col min="8209" max="8227" width="9.28515625" style="32" customWidth="1"/>
    <col min="8228" max="8448" width="9.28515625" style="32"/>
    <col min="8449" max="8449" width="14.28515625" style="32" customWidth="1"/>
    <col min="8450" max="8450" width="7.7109375" style="32" customWidth="1"/>
    <col min="8451" max="8451" width="52.28515625" style="32" customWidth="1"/>
    <col min="8452" max="8452" width="73" style="32" customWidth="1"/>
    <col min="8453" max="8453" width="37.7109375" style="32" customWidth="1"/>
    <col min="8454" max="8464" width="0" style="32" hidden="1"/>
    <col min="8465" max="8483" width="9.28515625" style="32" customWidth="1"/>
    <col min="8484" max="8704" width="9.28515625" style="32"/>
    <col min="8705" max="8705" width="14.28515625" style="32" customWidth="1"/>
    <col min="8706" max="8706" width="7.7109375" style="32" customWidth="1"/>
    <col min="8707" max="8707" width="52.28515625" style="32" customWidth="1"/>
    <col min="8708" max="8708" width="73" style="32" customWidth="1"/>
    <col min="8709" max="8709" width="37.7109375" style="32" customWidth="1"/>
    <col min="8710" max="8720" width="0" style="32" hidden="1"/>
    <col min="8721" max="8739" width="9.28515625" style="32" customWidth="1"/>
    <col min="8740" max="8960" width="9.28515625" style="32"/>
    <col min="8961" max="8961" width="14.28515625" style="32" customWidth="1"/>
    <col min="8962" max="8962" width="7.7109375" style="32" customWidth="1"/>
    <col min="8963" max="8963" width="52.28515625" style="32" customWidth="1"/>
    <col min="8964" max="8964" width="73" style="32" customWidth="1"/>
    <col min="8965" max="8965" width="37.7109375" style="32" customWidth="1"/>
    <col min="8966" max="8976" width="0" style="32" hidden="1"/>
    <col min="8977" max="8995" width="9.28515625" style="32" customWidth="1"/>
    <col min="8996" max="9216" width="9.28515625" style="32"/>
    <col min="9217" max="9217" width="14.28515625" style="32" customWidth="1"/>
    <col min="9218" max="9218" width="7.7109375" style="32" customWidth="1"/>
    <col min="9219" max="9219" width="52.28515625" style="32" customWidth="1"/>
    <col min="9220" max="9220" width="73" style="32" customWidth="1"/>
    <col min="9221" max="9221" width="37.7109375" style="32" customWidth="1"/>
    <col min="9222" max="9232" width="0" style="32" hidden="1"/>
    <col min="9233" max="9251" width="9.28515625" style="32" customWidth="1"/>
    <col min="9252" max="9472" width="9.28515625" style="32"/>
    <col min="9473" max="9473" width="14.28515625" style="32" customWidth="1"/>
    <col min="9474" max="9474" width="7.7109375" style="32" customWidth="1"/>
    <col min="9475" max="9475" width="52.28515625" style="32" customWidth="1"/>
    <col min="9476" max="9476" width="73" style="32" customWidth="1"/>
    <col min="9477" max="9477" width="37.7109375" style="32" customWidth="1"/>
    <col min="9478" max="9488" width="0" style="32" hidden="1"/>
    <col min="9489" max="9507" width="9.28515625" style="32" customWidth="1"/>
    <col min="9508" max="9728" width="9.28515625" style="32"/>
    <col min="9729" max="9729" width="14.28515625" style="32" customWidth="1"/>
    <col min="9730" max="9730" width="7.7109375" style="32" customWidth="1"/>
    <col min="9731" max="9731" width="52.28515625" style="32" customWidth="1"/>
    <col min="9732" max="9732" width="73" style="32" customWidth="1"/>
    <col min="9733" max="9733" width="37.7109375" style="32" customWidth="1"/>
    <col min="9734" max="9744" width="0" style="32" hidden="1"/>
    <col min="9745" max="9763" width="9.28515625" style="32" customWidth="1"/>
    <col min="9764" max="9984" width="9.28515625" style="32"/>
    <col min="9985" max="9985" width="14.28515625" style="32" customWidth="1"/>
    <col min="9986" max="9986" width="7.7109375" style="32" customWidth="1"/>
    <col min="9987" max="9987" width="52.28515625" style="32" customWidth="1"/>
    <col min="9988" max="9988" width="73" style="32" customWidth="1"/>
    <col min="9989" max="9989" width="37.7109375" style="32" customWidth="1"/>
    <col min="9990" max="10000" width="0" style="32" hidden="1"/>
    <col min="10001" max="10019" width="9.28515625" style="32" customWidth="1"/>
    <col min="10020" max="10240" width="9.28515625" style="32"/>
    <col min="10241" max="10241" width="14.28515625" style="32" customWidth="1"/>
    <col min="10242" max="10242" width="7.7109375" style="32" customWidth="1"/>
    <col min="10243" max="10243" width="52.28515625" style="32" customWidth="1"/>
    <col min="10244" max="10244" width="73" style="32" customWidth="1"/>
    <col min="10245" max="10245" width="37.7109375" style="32" customWidth="1"/>
    <col min="10246" max="10256" width="0" style="32" hidden="1"/>
    <col min="10257" max="10275" width="9.28515625" style="32" customWidth="1"/>
    <col min="10276" max="10496" width="9.28515625" style="32"/>
    <col min="10497" max="10497" width="14.28515625" style="32" customWidth="1"/>
    <col min="10498" max="10498" width="7.7109375" style="32" customWidth="1"/>
    <col min="10499" max="10499" width="52.28515625" style="32" customWidth="1"/>
    <col min="10500" max="10500" width="73" style="32" customWidth="1"/>
    <col min="10501" max="10501" width="37.7109375" style="32" customWidth="1"/>
    <col min="10502" max="10512" width="0" style="32" hidden="1"/>
    <col min="10513" max="10531" width="9.28515625" style="32" customWidth="1"/>
    <col min="10532" max="10752" width="9.28515625" style="32"/>
    <col min="10753" max="10753" width="14.28515625" style="32" customWidth="1"/>
    <col min="10754" max="10754" width="7.7109375" style="32" customWidth="1"/>
    <col min="10755" max="10755" width="52.28515625" style="32" customWidth="1"/>
    <col min="10756" max="10756" width="73" style="32" customWidth="1"/>
    <col min="10757" max="10757" width="37.7109375" style="32" customWidth="1"/>
    <col min="10758" max="10768" width="0" style="32" hidden="1"/>
    <col min="10769" max="10787" width="9.28515625" style="32" customWidth="1"/>
    <col min="10788" max="11008" width="9.28515625" style="32"/>
    <col min="11009" max="11009" width="14.28515625" style="32" customWidth="1"/>
    <col min="11010" max="11010" width="7.7109375" style="32" customWidth="1"/>
    <col min="11011" max="11011" width="52.28515625" style="32" customWidth="1"/>
    <col min="11012" max="11012" width="73" style="32" customWidth="1"/>
    <col min="11013" max="11013" width="37.7109375" style="32" customWidth="1"/>
    <col min="11014" max="11024" width="0" style="32" hidden="1"/>
    <col min="11025" max="11043" width="9.28515625" style="32" customWidth="1"/>
    <col min="11044" max="11264" width="9.28515625" style="32"/>
    <col min="11265" max="11265" width="14.28515625" style="32" customWidth="1"/>
    <col min="11266" max="11266" width="7.7109375" style="32" customWidth="1"/>
    <col min="11267" max="11267" width="52.28515625" style="32" customWidth="1"/>
    <col min="11268" max="11268" width="73" style="32" customWidth="1"/>
    <col min="11269" max="11269" width="37.7109375" style="32" customWidth="1"/>
    <col min="11270" max="11280" width="0" style="32" hidden="1"/>
    <col min="11281" max="11299" width="9.28515625" style="32" customWidth="1"/>
    <col min="11300" max="11520" width="9.28515625" style="32"/>
    <col min="11521" max="11521" width="14.28515625" style="32" customWidth="1"/>
    <col min="11522" max="11522" width="7.7109375" style="32" customWidth="1"/>
    <col min="11523" max="11523" width="52.28515625" style="32" customWidth="1"/>
    <col min="11524" max="11524" width="73" style="32" customWidth="1"/>
    <col min="11525" max="11525" width="37.7109375" style="32" customWidth="1"/>
    <col min="11526" max="11536" width="0" style="32" hidden="1"/>
    <col min="11537" max="11555" width="9.28515625" style="32" customWidth="1"/>
    <col min="11556" max="11776" width="9.28515625" style="32"/>
    <col min="11777" max="11777" width="14.28515625" style="32" customWidth="1"/>
    <col min="11778" max="11778" width="7.7109375" style="32" customWidth="1"/>
    <col min="11779" max="11779" width="52.28515625" style="32" customWidth="1"/>
    <col min="11780" max="11780" width="73" style="32" customWidth="1"/>
    <col min="11781" max="11781" width="37.7109375" style="32" customWidth="1"/>
    <col min="11782" max="11792" width="0" style="32" hidden="1"/>
    <col min="11793" max="11811" width="9.28515625" style="32" customWidth="1"/>
    <col min="11812" max="12032" width="9.28515625" style="32"/>
    <col min="12033" max="12033" width="14.28515625" style="32" customWidth="1"/>
    <col min="12034" max="12034" width="7.7109375" style="32" customWidth="1"/>
    <col min="12035" max="12035" width="52.28515625" style="32" customWidth="1"/>
    <col min="12036" max="12036" width="73" style="32" customWidth="1"/>
    <col min="12037" max="12037" width="37.7109375" style="32" customWidth="1"/>
    <col min="12038" max="12048" width="0" style="32" hidden="1"/>
    <col min="12049" max="12067" width="9.28515625" style="32" customWidth="1"/>
    <col min="12068" max="12288" width="9.28515625" style="32"/>
    <col min="12289" max="12289" width="14.28515625" style="32" customWidth="1"/>
    <col min="12290" max="12290" width="7.7109375" style="32" customWidth="1"/>
    <col min="12291" max="12291" width="52.28515625" style="32" customWidth="1"/>
    <col min="12292" max="12292" width="73" style="32" customWidth="1"/>
    <col min="12293" max="12293" width="37.7109375" style="32" customWidth="1"/>
    <col min="12294" max="12304" width="0" style="32" hidden="1"/>
    <col min="12305" max="12323" width="9.28515625" style="32" customWidth="1"/>
    <col min="12324" max="12544" width="9.28515625" style="32"/>
    <col min="12545" max="12545" width="14.28515625" style="32" customWidth="1"/>
    <col min="12546" max="12546" width="7.7109375" style="32" customWidth="1"/>
    <col min="12547" max="12547" width="52.28515625" style="32" customWidth="1"/>
    <col min="12548" max="12548" width="73" style="32" customWidth="1"/>
    <col min="12549" max="12549" width="37.7109375" style="32" customWidth="1"/>
    <col min="12550" max="12560" width="0" style="32" hidden="1"/>
    <col min="12561" max="12579" width="9.28515625" style="32" customWidth="1"/>
    <col min="12580" max="12800" width="9.28515625" style="32"/>
    <col min="12801" max="12801" width="14.28515625" style="32" customWidth="1"/>
    <col min="12802" max="12802" width="7.7109375" style="32" customWidth="1"/>
    <col min="12803" max="12803" width="52.28515625" style="32" customWidth="1"/>
    <col min="12804" max="12804" width="73" style="32" customWidth="1"/>
    <col min="12805" max="12805" width="37.7109375" style="32" customWidth="1"/>
    <col min="12806" max="12816" width="0" style="32" hidden="1"/>
    <col min="12817" max="12835" width="9.28515625" style="32" customWidth="1"/>
    <col min="12836" max="13056" width="9.28515625" style="32"/>
    <col min="13057" max="13057" width="14.28515625" style="32" customWidth="1"/>
    <col min="13058" max="13058" width="7.7109375" style="32" customWidth="1"/>
    <col min="13059" max="13059" width="52.28515625" style="32" customWidth="1"/>
    <col min="13060" max="13060" width="73" style="32" customWidth="1"/>
    <col min="13061" max="13061" width="37.7109375" style="32" customWidth="1"/>
    <col min="13062" max="13072" width="0" style="32" hidden="1"/>
    <col min="13073" max="13091" width="9.28515625" style="32" customWidth="1"/>
    <col min="13092" max="13312" width="9.28515625" style="32"/>
    <col min="13313" max="13313" width="14.28515625" style="32" customWidth="1"/>
    <col min="13314" max="13314" width="7.7109375" style="32" customWidth="1"/>
    <col min="13315" max="13315" width="52.28515625" style="32" customWidth="1"/>
    <col min="13316" max="13316" width="73" style="32" customWidth="1"/>
    <col min="13317" max="13317" width="37.7109375" style="32" customWidth="1"/>
    <col min="13318" max="13328" width="0" style="32" hidden="1"/>
    <col min="13329" max="13347" width="9.28515625" style="32" customWidth="1"/>
    <col min="13348" max="13568" width="9.28515625" style="32"/>
    <col min="13569" max="13569" width="14.28515625" style="32" customWidth="1"/>
    <col min="13570" max="13570" width="7.7109375" style="32" customWidth="1"/>
    <col min="13571" max="13571" width="52.28515625" style="32" customWidth="1"/>
    <col min="13572" max="13572" width="73" style="32" customWidth="1"/>
    <col min="13573" max="13573" width="37.7109375" style="32" customWidth="1"/>
    <col min="13574" max="13584" width="0" style="32" hidden="1"/>
    <col min="13585" max="13603" width="9.28515625" style="32" customWidth="1"/>
    <col min="13604" max="13824" width="9.28515625" style="32"/>
    <col min="13825" max="13825" width="14.28515625" style="32" customWidth="1"/>
    <col min="13826" max="13826" width="7.7109375" style="32" customWidth="1"/>
    <col min="13827" max="13827" width="52.28515625" style="32" customWidth="1"/>
    <col min="13828" max="13828" width="73" style="32" customWidth="1"/>
    <col min="13829" max="13829" width="37.7109375" style="32" customWidth="1"/>
    <col min="13830" max="13840" width="0" style="32" hidden="1"/>
    <col min="13841" max="13859" width="9.28515625" style="32" customWidth="1"/>
    <col min="13860" max="14080" width="9.28515625" style="32"/>
    <col min="14081" max="14081" width="14.28515625" style="32" customWidth="1"/>
    <col min="14082" max="14082" width="7.7109375" style="32" customWidth="1"/>
    <col min="14083" max="14083" width="52.28515625" style="32" customWidth="1"/>
    <col min="14084" max="14084" width="73" style="32" customWidth="1"/>
    <col min="14085" max="14085" width="37.7109375" style="32" customWidth="1"/>
    <col min="14086" max="14096" width="0" style="32" hidden="1"/>
    <col min="14097" max="14115" width="9.28515625" style="32" customWidth="1"/>
    <col min="14116" max="14336" width="9.28515625" style="32"/>
    <col min="14337" max="14337" width="14.28515625" style="32" customWidth="1"/>
    <col min="14338" max="14338" width="7.7109375" style="32" customWidth="1"/>
    <col min="14339" max="14339" width="52.28515625" style="32" customWidth="1"/>
    <col min="14340" max="14340" width="73" style="32" customWidth="1"/>
    <col min="14341" max="14341" width="37.7109375" style="32" customWidth="1"/>
    <col min="14342" max="14352" width="0" style="32" hidden="1"/>
    <col min="14353" max="14371" width="9.28515625" style="32" customWidth="1"/>
    <col min="14372" max="14592" width="9.28515625" style="32"/>
    <col min="14593" max="14593" width="14.28515625" style="32" customWidth="1"/>
    <col min="14594" max="14594" width="7.7109375" style="32" customWidth="1"/>
    <col min="14595" max="14595" width="52.28515625" style="32" customWidth="1"/>
    <col min="14596" max="14596" width="73" style="32" customWidth="1"/>
    <col min="14597" max="14597" width="37.7109375" style="32" customWidth="1"/>
    <col min="14598" max="14608" width="0" style="32" hidden="1"/>
    <col min="14609" max="14627" width="9.28515625" style="32" customWidth="1"/>
    <col min="14628" max="14848" width="9.28515625" style="32"/>
    <col min="14849" max="14849" width="14.28515625" style="32" customWidth="1"/>
    <col min="14850" max="14850" width="7.7109375" style="32" customWidth="1"/>
    <col min="14851" max="14851" width="52.28515625" style="32" customWidth="1"/>
    <col min="14852" max="14852" width="73" style="32" customWidth="1"/>
    <col min="14853" max="14853" width="37.7109375" style="32" customWidth="1"/>
    <col min="14854" max="14864" width="0" style="32" hidden="1"/>
    <col min="14865" max="14883" width="9.28515625" style="32" customWidth="1"/>
    <col min="14884" max="15104" width="9.28515625" style="32"/>
    <col min="15105" max="15105" width="14.28515625" style="32" customWidth="1"/>
    <col min="15106" max="15106" width="7.7109375" style="32" customWidth="1"/>
    <col min="15107" max="15107" width="52.28515625" style="32" customWidth="1"/>
    <col min="15108" max="15108" width="73" style="32" customWidth="1"/>
    <col min="15109" max="15109" width="37.7109375" style="32" customWidth="1"/>
    <col min="15110" max="15120" width="0" style="32" hidden="1"/>
    <col min="15121" max="15139" width="9.28515625" style="32" customWidth="1"/>
    <col min="15140" max="15360" width="9.28515625" style="32"/>
    <col min="15361" max="15361" width="14.28515625" style="32" customWidth="1"/>
    <col min="15362" max="15362" width="7.7109375" style="32" customWidth="1"/>
    <col min="15363" max="15363" width="52.28515625" style="32" customWidth="1"/>
    <col min="15364" max="15364" width="73" style="32" customWidth="1"/>
    <col min="15365" max="15365" width="37.7109375" style="32" customWidth="1"/>
    <col min="15366" max="15376" width="0" style="32" hidden="1"/>
    <col min="15377" max="15395" width="9.28515625" style="32" customWidth="1"/>
    <col min="15396" max="15616" width="9.28515625" style="32"/>
    <col min="15617" max="15617" width="14.28515625" style="32" customWidth="1"/>
    <col min="15618" max="15618" width="7.7109375" style="32" customWidth="1"/>
    <col min="15619" max="15619" width="52.28515625" style="32" customWidth="1"/>
    <col min="15620" max="15620" width="73" style="32" customWidth="1"/>
    <col min="15621" max="15621" width="37.7109375" style="32" customWidth="1"/>
    <col min="15622" max="15632" width="0" style="32" hidden="1"/>
    <col min="15633" max="15651" width="9.28515625" style="32" customWidth="1"/>
    <col min="15652" max="15872" width="9.28515625" style="32"/>
    <col min="15873" max="15873" width="14.28515625" style="32" customWidth="1"/>
    <col min="15874" max="15874" width="7.7109375" style="32" customWidth="1"/>
    <col min="15875" max="15875" width="52.28515625" style="32" customWidth="1"/>
    <col min="15876" max="15876" width="73" style="32" customWidth="1"/>
    <col min="15877" max="15877" width="37.7109375" style="32" customWidth="1"/>
    <col min="15878" max="15888" width="0" style="32" hidden="1"/>
    <col min="15889" max="15907" width="9.28515625" style="32" customWidth="1"/>
    <col min="15908" max="16128" width="9.28515625" style="32"/>
    <col min="16129" max="16129" width="14.28515625" style="32" customWidth="1"/>
    <col min="16130" max="16130" width="7.7109375" style="32" customWidth="1"/>
    <col min="16131" max="16131" width="52.28515625" style="32" customWidth="1"/>
    <col min="16132" max="16132" width="73" style="32" customWidth="1"/>
    <col min="16133" max="16133" width="37.7109375" style="32" customWidth="1"/>
    <col min="16134" max="16144" width="0" style="32" hidden="1"/>
    <col min="16145" max="16163" width="9.28515625" style="32" customWidth="1"/>
    <col min="16164" max="16384" width="9.28515625" style="32"/>
  </cols>
  <sheetData>
    <row r="1" spans="1:8" ht="27.75" customHeight="1" x14ac:dyDescent="0.2">
      <c r="A1" s="217" t="s">
        <v>114</v>
      </c>
      <c r="B1" s="218"/>
      <c r="C1" s="218"/>
      <c r="D1" s="219"/>
    </row>
    <row r="2" spans="1:8" x14ac:dyDescent="0.2">
      <c r="A2" s="214" t="s">
        <v>193</v>
      </c>
      <c r="B2" s="215"/>
      <c r="C2" s="215"/>
      <c r="D2" s="216"/>
    </row>
    <row r="3" spans="1:8" x14ac:dyDescent="0.2">
      <c r="A3" s="34" t="s">
        <v>194</v>
      </c>
      <c r="B3" s="34" t="s">
        <v>195</v>
      </c>
      <c r="C3" s="34" t="s">
        <v>196</v>
      </c>
      <c r="D3" s="34" t="s">
        <v>197</v>
      </c>
    </row>
    <row r="4" spans="1:8" ht="76.5" x14ac:dyDescent="0.2">
      <c r="A4" s="35" t="s">
        <v>119</v>
      </c>
      <c r="B4" s="28">
        <v>3</v>
      </c>
      <c r="C4" s="26" t="s">
        <v>173</v>
      </c>
      <c r="D4" s="27" t="s">
        <v>198</v>
      </c>
    </row>
    <row r="5" spans="1:8" ht="76.5" x14ac:dyDescent="0.2">
      <c r="A5" s="35" t="s">
        <v>120</v>
      </c>
      <c r="B5" s="28">
        <v>2</v>
      </c>
      <c r="C5" s="26" t="s">
        <v>199</v>
      </c>
      <c r="D5" s="27" t="s">
        <v>200</v>
      </c>
      <c r="G5" s="36"/>
    </row>
    <row r="6" spans="1:8" ht="76.5" x14ac:dyDescent="0.2">
      <c r="A6" s="35" t="s">
        <v>121</v>
      </c>
      <c r="B6" s="37">
        <v>1</v>
      </c>
      <c r="C6" s="26" t="s">
        <v>174</v>
      </c>
      <c r="D6" s="27" t="s">
        <v>201</v>
      </c>
      <c r="G6" s="36"/>
    </row>
    <row r="7" spans="1:8" x14ac:dyDescent="0.2">
      <c r="A7" s="45"/>
      <c r="B7" s="46"/>
      <c r="C7" s="47"/>
      <c r="D7" s="48"/>
    </row>
    <row r="8" spans="1:8" x14ac:dyDescent="0.2">
      <c r="A8" s="214" t="s">
        <v>202</v>
      </c>
      <c r="B8" s="215"/>
      <c r="C8" s="215"/>
      <c r="D8" s="216"/>
    </row>
    <row r="9" spans="1:8" ht="23.65" customHeight="1" x14ac:dyDescent="0.2">
      <c r="A9" s="34" t="s">
        <v>194</v>
      </c>
      <c r="B9" s="34" t="s">
        <v>195</v>
      </c>
      <c r="C9" s="34" t="s">
        <v>203</v>
      </c>
      <c r="D9" s="34" t="s">
        <v>204</v>
      </c>
    </row>
    <row r="10" spans="1:8" ht="38.25" x14ac:dyDescent="0.2">
      <c r="A10" s="35" t="s">
        <v>119</v>
      </c>
      <c r="B10" s="28">
        <v>3</v>
      </c>
      <c r="C10" s="28" t="s">
        <v>175</v>
      </c>
      <c r="D10" s="27" t="s">
        <v>205</v>
      </c>
    </row>
    <row r="11" spans="1:8" ht="38.25" x14ac:dyDescent="0.2">
      <c r="A11" s="35" t="s">
        <v>120</v>
      </c>
      <c r="B11" s="28">
        <v>2</v>
      </c>
      <c r="C11" s="28" t="s">
        <v>176</v>
      </c>
      <c r="D11" s="27" t="s">
        <v>206</v>
      </c>
    </row>
    <row r="12" spans="1:8" ht="38.25" x14ac:dyDescent="0.2">
      <c r="A12" s="35" t="s">
        <v>121</v>
      </c>
      <c r="B12" s="28">
        <v>1</v>
      </c>
      <c r="C12" s="28" t="s">
        <v>177</v>
      </c>
      <c r="D12" s="27" t="s">
        <v>178</v>
      </c>
    </row>
    <row r="13" spans="1:8" x14ac:dyDescent="0.2">
      <c r="A13" s="45"/>
      <c r="D13" s="49"/>
      <c r="G13" s="33"/>
      <c r="H13" s="33"/>
    </row>
    <row r="14" spans="1:8" x14ac:dyDescent="0.2">
      <c r="A14" s="214" t="s">
        <v>207</v>
      </c>
      <c r="B14" s="215"/>
      <c r="C14" s="215"/>
      <c r="D14" s="216"/>
    </row>
    <row r="15" spans="1:8" ht="15.6" customHeight="1" x14ac:dyDescent="0.2">
      <c r="A15" s="45"/>
      <c r="B15" s="46"/>
      <c r="C15" s="32"/>
      <c r="D15" s="49"/>
    </row>
    <row r="16" spans="1:8" ht="15.6" customHeight="1" x14ac:dyDescent="0.2">
      <c r="A16" s="45"/>
      <c r="B16" s="46"/>
      <c r="C16" s="47"/>
      <c r="D16" s="48"/>
    </row>
    <row r="17" spans="1:63" ht="15.6" customHeight="1" x14ac:dyDescent="0.2">
      <c r="A17" s="50"/>
      <c r="C17" s="47"/>
      <c r="D17" s="48"/>
    </row>
    <row r="18" spans="1:63" ht="15.6" customHeight="1" x14ac:dyDescent="0.2">
      <c r="A18" s="45"/>
      <c r="B18" s="51"/>
      <c r="C18" s="47"/>
      <c r="D18" s="48"/>
      <c r="F18" s="32"/>
    </row>
    <row r="19" spans="1:63" s="39" customFormat="1" ht="15.6" customHeight="1" x14ac:dyDescent="0.25">
      <c r="A19" s="45"/>
      <c r="B19" s="51"/>
      <c r="C19" s="38"/>
      <c r="D19" s="52"/>
      <c r="E19" s="38"/>
      <c r="F19" s="38"/>
      <c r="L19" s="40" t="s">
        <v>179</v>
      </c>
      <c r="M19" s="40" t="s">
        <v>180</v>
      </c>
      <c r="N19" s="40" t="s">
        <v>181</v>
      </c>
      <c r="O19" s="41" t="s">
        <v>182</v>
      </c>
    </row>
    <row r="20" spans="1:63" ht="15.6" customHeight="1" x14ac:dyDescent="0.2">
      <c r="A20" s="45"/>
      <c r="B20" s="51"/>
      <c r="D20" s="49"/>
      <c r="L20" s="42" t="s">
        <v>183</v>
      </c>
      <c r="M20" s="37">
        <v>1</v>
      </c>
      <c r="N20" s="28" t="s">
        <v>184</v>
      </c>
      <c r="O20" s="29" t="s">
        <v>185</v>
      </c>
    </row>
    <row r="21" spans="1:63" ht="15.6" customHeight="1" x14ac:dyDescent="0.2">
      <c r="A21" s="45"/>
      <c r="B21" s="51"/>
      <c r="D21" s="49"/>
      <c r="L21" s="43" t="s">
        <v>186</v>
      </c>
      <c r="M21" s="28" t="s">
        <v>187</v>
      </c>
      <c r="N21" s="28" t="s">
        <v>184</v>
      </c>
      <c r="O21" s="29" t="s">
        <v>188</v>
      </c>
    </row>
    <row r="22" spans="1:63" s="30" customFormat="1" ht="15.6" customHeight="1" x14ac:dyDescent="0.2">
      <c r="A22" s="45"/>
      <c r="B22" s="51"/>
      <c r="D22" s="53"/>
      <c r="I22" s="32"/>
      <c r="J22" s="32"/>
      <c r="K22" s="32"/>
      <c r="L22" s="44" t="s">
        <v>189</v>
      </c>
      <c r="M22" s="28" t="s">
        <v>190</v>
      </c>
      <c r="N22" s="28" t="s">
        <v>191</v>
      </c>
      <c r="O22" s="29" t="s">
        <v>192</v>
      </c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</row>
    <row r="23" spans="1:63" s="30" customFormat="1" ht="15.6" customHeight="1" x14ac:dyDescent="0.2">
      <c r="A23" s="54"/>
      <c r="B23" s="31"/>
      <c r="C23" s="31"/>
      <c r="D23" s="55"/>
      <c r="E23" s="31"/>
      <c r="F23" s="31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</row>
    <row r="24" spans="1:63" s="30" customFormat="1" ht="15.6" customHeight="1" x14ac:dyDescent="0.2">
      <c r="A24" s="54"/>
      <c r="B24" s="56"/>
      <c r="C24" s="31"/>
      <c r="D24" s="55"/>
      <c r="E24" s="31"/>
      <c r="F24" s="31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</row>
    <row r="25" spans="1:63" s="30" customFormat="1" ht="15.6" customHeight="1" x14ac:dyDescent="0.2">
      <c r="A25" s="54"/>
      <c r="B25" s="31"/>
      <c r="C25" s="31"/>
      <c r="D25" s="55"/>
      <c r="E25" s="31"/>
      <c r="F25" s="31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</row>
    <row r="26" spans="1:63" s="30" customFormat="1" ht="15.6" customHeight="1" x14ac:dyDescent="0.2">
      <c r="A26" s="54"/>
      <c r="B26" s="31"/>
      <c r="C26" s="31"/>
      <c r="D26" s="55"/>
      <c r="E26" s="31"/>
      <c r="F26" s="31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</row>
    <row r="27" spans="1:63" s="30" customFormat="1" x14ac:dyDescent="0.2">
      <c r="A27" s="54"/>
      <c r="B27" s="31"/>
      <c r="C27" s="31"/>
      <c r="D27" s="55"/>
      <c r="E27" s="31"/>
      <c r="F27" s="31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</row>
    <row r="28" spans="1:63" s="30" customFormat="1" x14ac:dyDescent="0.2">
      <c r="A28" s="57"/>
      <c r="B28" s="31"/>
      <c r="C28" s="31"/>
      <c r="D28" s="55"/>
      <c r="E28" s="31"/>
      <c r="F28" s="31"/>
      <c r="U28" s="32"/>
      <c r="V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</row>
    <row r="29" spans="1:63" s="30" customFormat="1" x14ac:dyDescent="0.2">
      <c r="A29" s="57"/>
      <c r="B29" s="31"/>
      <c r="C29" s="31"/>
      <c r="D29" s="55"/>
      <c r="E29" s="31"/>
      <c r="F29" s="31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</row>
    <row r="30" spans="1:63" s="30" customFormat="1" x14ac:dyDescent="0.2">
      <c r="A30" s="57"/>
      <c r="B30" s="31"/>
      <c r="C30" s="31"/>
      <c r="D30" s="55"/>
      <c r="E30" s="31"/>
      <c r="F30" s="31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</row>
    <row r="31" spans="1:63" s="30" customFormat="1" x14ac:dyDescent="0.2">
      <c r="A31" s="57"/>
      <c r="B31" s="31"/>
      <c r="C31" s="31"/>
      <c r="D31" s="55"/>
      <c r="E31" s="31"/>
      <c r="F31" s="31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</row>
    <row r="32" spans="1:63" s="30" customFormat="1" x14ac:dyDescent="0.2">
      <c r="A32" s="57"/>
      <c r="B32" s="31"/>
      <c r="C32" s="31"/>
      <c r="D32" s="55"/>
      <c r="E32" s="31"/>
      <c r="F32" s="31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</row>
    <row r="33" spans="1:4" x14ac:dyDescent="0.2">
      <c r="A33" s="57"/>
      <c r="D33" s="49"/>
    </row>
    <row r="34" spans="1:4" x14ac:dyDescent="0.2">
      <c r="A34" s="57"/>
      <c r="D34" s="49"/>
    </row>
    <row r="35" spans="1:4" x14ac:dyDescent="0.2">
      <c r="A35" s="58"/>
      <c r="D35" s="49"/>
    </row>
    <row r="36" spans="1:4" x14ac:dyDescent="0.2">
      <c r="A36" s="58"/>
      <c r="D36" s="49"/>
    </row>
    <row r="37" spans="1:4" x14ac:dyDescent="0.2">
      <c r="A37" s="58"/>
      <c r="D37" s="49"/>
    </row>
    <row r="38" spans="1:4" x14ac:dyDescent="0.2">
      <c r="A38" s="59"/>
      <c r="B38" s="60"/>
      <c r="C38" s="60"/>
      <c r="D38" s="61"/>
    </row>
  </sheetData>
  <sheetProtection password="D81E" sheet="1" objects="1" scenarios="1" formatCells="0" formatColumns="0" formatRows="0" insertColumns="0" insertRows="0" insertHyperlinks="0" deleteColumns="0" deleteRows="0" sort="0" autoFilter="0" pivotTables="0"/>
  <mergeCells count="4">
    <mergeCell ref="A2:D2"/>
    <mergeCell ref="A8:D8"/>
    <mergeCell ref="A14:D14"/>
    <mergeCell ref="A1:D1"/>
  </mergeCells>
  <printOptions horizontalCentered="1" gridLinesSet="0"/>
  <pageMargins left="0.19685039370078741" right="0.19685039370078741" top="0.31496062992125984" bottom="0.31496062992125984" header="0.15748031496062992" footer="0.19685039370078741"/>
  <pageSetup paperSize="9" scale="68" fitToHeight="0" orientation="portrait" r:id="rId1"/>
  <headerFooter alignWithMargins="0">
    <oddFooter>&amp;RPágina 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51"/>
  <sheetViews>
    <sheetView view="pageBreakPreview" zoomScaleNormal="100" zoomScaleSheetLayoutView="100" workbookViewId="0">
      <selection activeCell="B10" sqref="B10"/>
    </sheetView>
  </sheetViews>
  <sheetFormatPr defaultColWidth="11.42578125" defaultRowHeight="12.75" x14ac:dyDescent="0.2"/>
  <cols>
    <col min="1" max="1" width="4" style="1" bestFit="1" customWidth="1"/>
    <col min="2" max="2" width="109" style="1" customWidth="1"/>
    <col min="3" max="16384" width="11.42578125" style="1"/>
  </cols>
  <sheetData>
    <row r="1" spans="1:2" x14ac:dyDescent="0.2">
      <c r="A1" s="220" t="s">
        <v>122</v>
      </c>
      <c r="B1" s="220"/>
    </row>
    <row r="2" spans="1:2" x14ac:dyDescent="0.2">
      <c r="A2" s="22">
        <v>1</v>
      </c>
      <c r="B2" s="23" t="s">
        <v>123</v>
      </c>
    </row>
    <row r="3" spans="1:2" x14ac:dyDescent="0.2">
      <c r="A3" s="3">
        <v>1.1000000000000001</v>
      </c>
      <c r="B3" s="2" t="s">
        <v>124</v>
      </c>
    </row>
    <row r="4" spans="1:2" x14ac:dyDescent="0.2">
      <c r="A4" s="3">
        <v>1.2</v>
      </c>
      <c r="B4" s="2" t="s">
        <v>125</v>
      </c>
    </row>
    <row r="5" spans="1:2" x14ac:dyDescent="0.2">
      <c r="A5" s="3">
        <v>1.3</v>
      </c>
      <c r="B5" s="2" t="s">
        <v>126</v>
      </c>
    </row>
    <row r="6" spans="1:2" x14ac:dyDescent="0.2">
      <c r="A6" s="3">
        <v>1.4</v>
      </c>
      <c r="B6" s="2" t="s">
        <v>127</v>
      </c>
    </row>
    <row r="7" spans="1:2" x14ac:dyDescent="0.2">
      <c r="A7" s="22">
        <v>2</v>
      </c>
      <c r="B7" s="23" t="s">
        <v>128</v>
      </c>
    </row>
    <row r="8" spans="1:2" x14ac:dyDescent="0.2">
      <c r="A8" s="24">
        <v>2.1</v>
      </c>
      <c r="B8" s="2" t="s">
        <v>129</v>
      </c>
    </row>
    <row r="9" spans="1:2" x14ac:dyDescent="0.2">
      <c r="A9" s="24">
        <v>2.2000000000000002</v>
      </c>
      <c r="B9" s="2" t="s">
        <v>130</v>
      </c>
    </row>
    <row r="10" spans="1:2" x14ac:dyDescent="0.2">
      <c r="A10" s="24">
        <v>2.2999999999999998</v>
      </c>
      <c r="B10" s="2" t="s">
        <v>131</v>
      </c>
    </row>
    <row r="11" spans="1:2" x14ac:dyDescent="0.2">
      <c r="A11" s="24">
        <v>2.4</v>
      </c>
      <c r="B11" s="2" t="s">
        <v>132</v>
      </c>
    </row>
    <row r="12" spans="1:2" x14ac:dyDescent="0.2">
      <c r="A12" s="24">
        <v>2.5</v>
      </c>
      <c r="B12" s="2" t="s">
        <v>133</v>
      </c>
    </row>
    <row r="13" spans="1:2" x14ac:dyDescent="0.2">
      <c r="A13" s="24">
        <v>2.6</v>
      </c>
      <c r="B13" s="2" t="s">
        <v>134</v>
      </c>
    </row>
    <row r="14" spans="1:2" x14ac:dyDescent="0.2">
      <c r="A14" s="24">
        <v>2.7</v>
      </c>
      <c r="B14" s="2" t="s">
        <v>135</v>
      </c>
    </row>
    <row r="15" spans="1:2" x14ac:dyDescent="0.2">
      <c r="A15" s="24">
        <v>2.8</v>
      </c>
      <c r="B15" s="2" t="s">
        <v>136</v>
      </c>
    </row>
    <row r="16" spans="1:2" x14ac:dyDescent="0.2">
      <c r="A16" s="22">
        <v>3</v>
      </c>
      <c r="B16" s="23" t="s">
        <v>137</v>
      </c>
    </row>
    <row r="17" spans="1:2" x14ac:dyDescent="0.2">
      <c r="A17" s="24">
        <v>3.1</v>
      </c>
      <c r="B17" s="2" t="s">
        <v>138</v>
      </c>
    </row>
    <row r="18" spans="1:2" x14ac:dyDescent="0.2">
      <c r="A18" s="24">
        <v>3.2</v>
      </c>
      <c r="B18" s="2" t="s">
        <v>139</v>
      </c>
    </row>
    <row r="19" spans="1:2" x14ac:dyDescent="0.2">
      <c r="A19" s="24">
        <v>3.3</v>
      </c>
      <c r="B19" s="2" t="s">
        <v>140</v>
      </c>
    </row>
    <row r="20" spans="1:2" x14ac:dyDescent="0.2">
      <c r="A20" s="24">
        <v>3.4</v>
      </c>
      <c r="B20" s="2" t="s">
        <v>141</v>
      </c>
    </row>
    <row r="21" spans="1:2" x14ac:dyDescent="0.2">
      <c r="A21" s="24">
        <v>3.5</v>
      </c>
      <c r="B21" s="25" t="s">
        <v>142</v>
      </c>
    </row>
    <row r="22" spans="1:2" x14ac:dyDescent="0.2">
      <c r="A22" s="22">
        <v>4</v>
      </c>
      <c r="B22" s="23" t="s">
        <v>143</v>
      </c>
    </row>
    <row r="23" spans="1:2" x14ac:dyDescent="0.2">
      <c r="A23" s="24">
        <v>4.0999999999999996</v>
      </c>
      <c r="B23" s="2" t="s">
        <v>144</v>
      </c>
    </row>
    <row r="24" spans="1:2" x14ac:dyDescent="0.2">
      <c r="A24" s="24">
        <v>4.2</v>
      </c>
      <c r="B24" s="2" t="s">
        <v>145</v>
      </c>
    </row>
    <row r="25" spans="1:2" x14ac:dyDescent="0.2">
      <c r="A25" s="24">
        <v>4.3</v>
      </c>
      <c r="B25" s="2" t="s">
        <v>146</v>
      </c>
    </row>
    <row r="26" spans="1:2" x14ac:dyDescent="0.2">
      <c r="A26" s="24">
        <v>4.4000000000000004</v>
      </c>
      <c r="B26" s="2" t="s">
        <v>147</v>
      </c>
    </row>
    <row r="27" spans="1:2" x14ac:dyDescent="0.2">
      <c r="A27" s="24">
        <v>4.5999999999999996</v>
      </c>
      <c r="B27" s="2" t="s">
        <v>148</v>
      </c>
    </row>
    <row r="28" spans="1:2" x14ac:dyDescent="0.2">
      <c r="A28" s="24">
        <v>4.7</v>
      </c>
      <c r="B28" s="2" t="s">
        <v>149</v>
      </c>
    </row>
    <row r="29" spans="1:2" x14ac:dyDescent="0.2">
      <c r="A29" s="22">
        <v>5</v>
      </c>
      <c r="B29" s="23" t="s">
        <v>150</v>
      </c>
    </row>
    <row r="30" spans="1:2" x14ac:dyDescent="0.2">
      <c r="A30" s="24">
        <v>5.0999999999999996</v>
      </c>
      <c r="B30" s="2" t="s">
        <v>151</v>
      </c>
    </row>
    <row r="31" spans="1:2" x14ac:dyDescent="0.2">
      <c r="A31" s="24">
        <v>5.2</v>
      </c>
      <c r="B31" s="21" t="s">
        <v>152</v>
      </c>
    </row>
    <row r="32" spans="1:2" x14ac:dyDescent="0.2">
      <c r="A32" s="24">
        <v>5.3</v>
      </c>
      <c r="B32" s="2" t="s">
        <v>153</v>
      </c>
    </row>
    <row r="33" spans="1:2" x14ac:dyDescent="0.2">
      <c r="A33" s="24">
        <v>5.4</v>
      </c>
      <c r="B33" s="2" t="s">
        <v>154</v>
      </c>
    </row>
    <row r="34" spans="1:2" x14ac:dyDescent="0.2">
      <c r="A34" s="24">
        <v>5.5</v>
      </c>
      <c r="B34" s="2" t="s">
        <v>155</v>
      </c>
    </row>
    <row r="35" spans="1:2" x14ac:dyDescent="0.2">
      <c r="A35" s="24">
        <v>5.6</v>
      </c>
      <c r="B35" s="2" t="s">
        <v>156</v>
      </c>
    </row>
    <row r="36" spans="1:2" x14ac:dyDescent="0.2">
      <c r="A36" s="22">
        <v>6</v>
      </c>
      <c r="B36" s="23" t="s">
        <v>157</v>
      </c>
    </row>
    <row r="37" spans="1:2" x14ac:dyDescent="0.2">
      <c r="A37" s="24">
        <v>6.1</v>
      </c>
      <c r="B37" s="2" t="s">
        <v>158</v>
      </c>
    </row>
    <row r="38" spans="1:2" x14ac:dyDescent="0.2">
      <c r="A38" s="24">
        <v>6.2</v>
      </c>
      <c r="B38" s="2" t="s">
        <v>159</v>
      </c>
    </row>
    <row r="39" spans="1:2" x14ac:dyDescent="0.2">
      <c r="A39" s="24">
        <v>6.3</v>
      </c>
      <c r="B39" s="2" t="s">
        <v>160</v>
      </c>
    </row>
    <row r="40" spans="1:2" x14ac:dyDescent="0.2">
      <c r="A40" s="24">
        <v>6.4</v>
      </c>
      <c r="B40" s="2" t="s">
        <v>161</v>
      </c>
    </row>
    <row r="41" spans="1:2" x14ac:dyDescent="0.2">
      <c r="A41" s="24">
        <v>6.5</v>
      </c>
      <c r="B41" s="2" t="s">
        <v>162</v>
      </c>
    </row>
    <row r="42" spans="1:2" x14ac:dyDescent="0.2">
      <c r="A42" s="24">
        <v>6.6</v>
      </c>
      <c r="B42" s="2" t="s">
        <v>163</v>
      </c>
    </row>
    <row r="43" spans="1:2" x14ac:dyDescent="0.2">
      <c r="A43" s="22">
        <v>7</v>
      </c>
      <c r="B43" s="23" t="s">
        <v>164</v>
      </c>
    </row>
    <row r="44" spans="1:2" x14ac:dyDescent="0.2">
      <c r="A44" s="24">
        <v>7.1</v>
      </c>
      <c r="B44" s="2" t="s">
        <v>165</v>
      </c>
    </row>
    <row r="45" spans="1:2" x14ac:dyDescent="0.2">
      <c r="A45" s="24">
        <v>7.2</v>
      </c>
      <c r="B45" s="2" t="s">
        <v>166</v>
      </c>
    </row>
    <row r="46" spans="1:2" x14ac:dyDescent="0.2">
      <c r="A46" s="24">
        <v>7.3</v>
      </c>
      <c r="B46" s="2" t="s">
        <v>167</v>
      </c>
    </row>
    <row r="47" spans="1:2" x14ac:dyDescent="0.2">
      <c r="A47" s="24">
        <v>7.4</v>
      </c>
      <c r="B47" s="2" t="s">
        <v>168</v>
      </c>
    </row>
    <row r="48" spans="1:2" x14ac:dyDescent="0.2">
      <c r="A48" s="24">
        <v>7.5</v>
      </c>
      <c r="B48" s="2" t="s">
        <v>169</v>
      </c>
    </row>
    <row r="49" spans="1:2" x14ac:dyDescent="0.2">
      <c r="A49" s="24">
        <v>7.6</v>
      </c>
      <c r="B49" s="2" t="s">
        <v>170</v>
      </c>
    </row>
    <row r="50" spans="1:2" x14ac:dyDescent="0.2">
      <c r="A50" s="22">
        <v>8</v>
      </c>
      <c r="B50" s="23" t="s">
        <v>171</v>
      </c>
    </row>
    <row r="51" spans="1:2" x14ac:dyDescent="0.2">
      <c r="A51" s="24">
        <v>8.1</v>
      </c>
      <c r="B51" s="20" t="s">
        <v>172</v>
      </c>
    </row>
  </sheetData>
  <sheetProtection password="D9DE" sheet="1" objects="1" scenarios="1" formatCells="0" formatColumns="0" formatRows="0" insertColumns="0" insertRows="0" insertHyperlinks="0" deleteColumns="0" deleteRows="0" sort="0" autoFilter="0" pivotTables="0"/>
  <mergeCells count="1">
    <mergeCell ref="A1:B1"/>
  </mergeCells>
  <printOptions horizontalCentered="1" gridLines="1" gridLinesSet="0"/>
  <pageMargins left="0.19685039370078741" right="0.19685039370078741" top="0.31496062992125984" bottom="0.31496062992125984" header="0.19685039370078741" footer="0.19685039370078741"/>
  <pageSetup paperSize="9" scale="88" fitToHeight="0" orientation="portrait" r:id="rId1"/>
  <headerFooter>
    <oddFooter>&amp;R&amp;"Arial,Normal"&amp;10Página &amp;P de 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7"/>
  <sheetViews>
    <sheetView showGridLines="0" view="pageBreakPreview" topLeftCell="A13" zoomScale="120" zoomScaleNormal="100" zoomScaleSheetLayoutView="120" workbookViewId="0">
      <selection activeCell="E23" sqref="E23"/>
    </sheetView>
  </sheetViews>
  <sheetFormatPr defaultColWidth="11.5703125" defaultRowHeight="15" x14ac:dyDescent="0.25"/>
  <cols>
    <col min="14" max="14" width="12.42578125" customWidth="1"/>
  </cols>
  <sheetData>
    <row r="1" spans="1:14" x14ac:dyDescent="0.25">
      <c r="A1" s="221" t="s">
        <v>209</v>
      </c>
      <c r="B1" s="222"/>
      <c r="C1" s="222"/>
      <c r="D1" s="222"/>
      <c r="E1" s="222"/>
      <c r="F1" s="222"/>
      <c r="G1" s="222"/>
      <c r="H1" s="222"/>
      <c r="I1" s="222"/>
      <c r="J1" s="222"/>
      <c r="K1" s="223"/>
      <c r="N1" s="63"/>
    </row>
    <row r="2" spans="1:14" x14ac:dyDescent="0.25">
      <c r="A2" s="62"/>
      <c r="K2" s="63"/>
    </row>
    <row r="3" spans="1:14" x14ac:dyDescent="0.25">
      <c r="A3" s="62"/>
      <c r="K3" s="63"/>
    </row>
    <row r="4" spans="1:14" x14ac:dyDescent="0.25">
      <c r="A4" s="62"/>
      <c r="I4" s="67"/>
      <c r="K4" s="63"/>
    </row>
    <row r="5" spans="1:14" x14ac:dyDescent="0.25">
      <c r="A5" s="62"/>
      <c r="K5" s="63"/>
    </row>
    <row r="6" spans="1:14" x14ac:dyDescent="0.25">
      <c r="A6" s="62"/>
      <c r="K6" s="63"/>
    </row>
    <row r="7" spans="1:14" x14ac:dyDescent="0.25">
      <c r="A7" s="62"/>
      <c r="K7" s="63"/>
    </row>
    <row r="8" spans="1:14" x14ac:dyDescent="0.25">
      <c r="A8" s="62"/>
      <c r="K8" s="63"/>
    </row>
    <row r="9" spans="1:14" x14ac:dyDescent="0.25">
      <c r="A9" s="62"/>
      <c r="K9" s="63"/>
    </row>
    <row r="10" spans="1:14" x14ac:dyDescent="0.25">
      <c r="A10" s="62"/>
      <c r="K10" s="63"/>
    </row>
    <row r="11" spans="1:14" x14ac:dyDescent="0.25">
      <c r="A11" s="62"/>
      <c r="K11" s="63"/>
    </row>
    <row r="12" spans="1:14" x14ac:dyDescent="0.25">
      <c r="A12" s="62"/>
      <c r="K12" s="63"/>
    </row>
    <row r="13" spans="1:14" x14ac:dyDescent="0.25">
      <c r="A13" s="62"/>
      <c r="K13" s="63"/>
    </row>
    <row r="14" spans="1:14" x14ac:dyDescent="0.25">
      <c r="A14" s="62"/>
      <c r="K14" s="63"/>
    </row>
    <row r="15" spans="1:14" x14ac:dyDescent="0.25">
      <c r="A15" s="62"/>
      <c r="K15" s="63"/>
    </row>
    <row r="16" spans="1:14" x14ac:dyDescent="0.25">
      <c r="A16" s="62"/>
      <c r="K16" s="63"/>
    </row>
    <row r="17" spans="1:11" x14ac:dyDescent="0.25">
      <c r="A17" s="62"/>
      <c r="K17" s="63"/>
    </row>
    <row r="18" spans="1:11" x14ac:dyDescent="0.25">
      <c r="A18" s="62"/>
      <c r="K18" s="63"/>
    </row>
    <row r="19" spans="1:11" x14ac:dyDescent="0.25">
      <c r="A19" s="62"/>
      <c r="K19" s="63"/>
    </row>
    <row r="20" spans="1:11" x14ac:dyDescent="0.25">
      <c r="A20" s="62"/>
      <c r="K20" s="63"/>
    </row>
    <row r="21" spans="1:11" x14ac:dyDescent="0.25">
      <c r="A21" s="64"/>
      <c r="B21" s="65"/>
      <c r="C21" s="65"/>
      <c r="D21" s="65"/>
      <c r="E21" s="65"/>
      <c r="F21" s="65"/>
      <c r="G21" s="65"/>
      <c r="H21" s="65"/>
      <c r="I21" s="65"/>
      <c r="J21" s="65"/>
      <c r="K21" s="66"/>
    </row>
    <row r="22" spans="1:11" x14ac:dyDescent="0.25">
      <c r="A22" s="62"/>
    </row>
    <row r="27" spans="1:11" ht="11.25" customHeight="1" x14ac:dyDescent="0.25"/>
  </sheetData>
  <sheetProtection password="D81E" sheet="1" objects="1" scenarios="1" formatCells="0" formatColumns="0" formatRows="0" insertColumns="0" insertRows="0" insertHyperlinks="0" deleteColumns="0" deleteRows="0" sort="0" autoFilter="0" pivotTables="0"/>
  <mergeCells count="1">
    <mergeCell ref="A1:K1"/>
  </mergeCells>
  <pageMargins left="0.70866141732283472" right="0.70866141732283472" top="0.74803149606299213" bottom="0.74803149606299213" header="0.31496062992125984" footer="0.31496062992125984"/>
  <pageSetup paperSize="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Datos</vt:lpstr>
      <vt:lpstr>Inspección</vt:lpstr>
      <vt:lpstr>Tablas</vt:lpstr>
      <vt:lpstr>Nivel Riesgo MA</vt:lpstr>
      <vt:lpstr>Check list Insp.Amb.</vt:lpstr>
      <vt:lpstr>Nivel Riesgo SSO</vt:lpstr>
      <vt:lpstr>'Nivel Riesgo MA'!Print_Area</vt:lpstr>
      <vt:lpstr>'Nivel Riesgo SSO'!Print_Area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Valencia</dc:creator>
  <cp:lastModifiedBy>u201511334 (Ore Huaman, Kevin Derik)</cp:lastModifiedBy>
  <cp:lastPrinted>2019-12-19T19:37:11Z</cp:lastPrinted>
  <dcterms:created xsi:type="dcterms:W3CDTF">2019-12-18T18:45:39Z</dcterms:created>
  <dcterms:modified xsi:type="dcterms:W3CDTF">2024-10-23T19:11:59Z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