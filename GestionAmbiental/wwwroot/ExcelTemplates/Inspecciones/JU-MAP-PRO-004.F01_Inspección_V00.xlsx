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megoa\OneDrive - Minsur S.A\Escritorio\Carlos Mego\Proyecto Software\Módulo Inspecciones\"/>
    </mc:Choice>
  </mc:AlternateContent>
  <xr:revisionPtr revIDLastSave="0" documentId="13_ncr:1_{BB6D9556-0CA5-49B9-AF0A-A33AA463164A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Datos" sheetId="2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_xlnm.Print_Area" localSheetId="3">'Nivel Riesgo MA'!$A$1:$D$39</definedName>
    <definedName name="_xlnm.Print_Area" localSheetId="5">'Nivel Riesgo SSO'!$A$1:$K$21</definedName>
    <definedName name="LISTAFINAL">[1]Padrón!#REF!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  <author>Carlos Gabriel Mego Armas</author>
  </authors>
  <commentList>
    <comment ref="H1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
</t>
        </r>
      </text>
    </comment>
    <comment ref="P1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hora en formato de 24 horas.
Ejem:
18:39</t>
        </r>
      </text>
    </comment>
    <comment ref="S1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fecha en el siguiente formato:
dd/mm/aaaa
Ejm: 19/12/2019</t>
        </r>
      </text>
    </comment>
    <comment ref="A2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Para el desarrollo de la inspección de MA, puede agenciarse del check list que en encuentra en la hoja "Check list Insp.Amb."</t>
        </r>
      </text>
    </comment>
    <comment ref="C2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</t>
        </r>
      </text>
    </comment>
    <comment ref="O2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
Puede visualizar todos los tipos de condición/acto subestándar para SSO y MA en la hoja Tablas.</t>
        </r>
      </text>
    </comment>
    <comment ref="R2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Puede visualizar los niveles de riesgo de MA en la hoja "Nivel Riesgo MA", y los niveles de riesgo de Sso en la hoja " Nivel Riesgo SSO".</t>
        </r>
      </text>
    </comment>
    <comment ref="Y23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Durante la inspección, el responsable del área indica la fecha de cumplimiento, la cual debe estar validada por el Ing. Ambiental o el Ing. De SSO (según corresponda). Ésta debe ser lógica de acuerdo con el nivel de riesgo.</t>
        </r>
      </text>
    </comment>
    <comment ref="Z23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Colocar  la evidencia del levantamiento de la observación (Fotografías). En caso de ser documentos, vídeos u otros deberá indicarse ver "nombre del archivo", estos archivos deberán colocarse dentro de la misma carpeta donde se encuentre el archivo de la inspección.</t>
        </r>
      </text>
    </comment>
  </commentList>
</comments>
</file>

<file path=xl/sharedStrings.xml><?xml version="1.0" encoding="utf-8"?>
<sst xmlns="http://schemas.openxmlformats.org/spreadsheetml/2006/main" count="381" uniqueCount="291">
  <si>
    <t>INSPECCIÓN</t>
  </si>
  <si>
    <t>JU-MAP-PRO-004.F01</t>
  </si>
  <si>
    <t>Medio Ambiente y Pemisos</t>
  </si>
  <si>
    <t>INSERTAR FIRMA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</si>
  <si>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</si>
  <si>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</si>
  <si>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</si>
  <si>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</si>
  <si>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</si>
  <si>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</si>
  <si>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</si>
  <si>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</si>
  <si>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</si>
  <si>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</si>
  <si>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Acción preventiva/correctiva</t>
  </si>
  <si>
    <t>Responsable del Levantamiento del Acto/Condición Subestándar</t>
  </si>
  <si>
    <t>Levantamiento de la Observación</t>
  </si>
  <si>
    <t>Área inspeccionada: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</si>
  <si>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</si>
  <si>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</si>
  <si>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</si>
  <si>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</si>
  <si>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</si>
  <si>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</si>
  <si>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</si>
  <si>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</si>
  <si>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</si>
  <si>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Explotación de otras minas y canteras.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</si>
  <si>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</si>
  <si>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</si>
  <si>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</si>
  <si>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</si>
  <si>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</si>
  <si>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</si>
  <si>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</si>
  <si>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</si>
  <si>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</si>
  <si>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</si>
  <si>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</si>
  <si>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</si>
  <si>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</si>
  <si>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</si>
  <si>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</si>
  <si>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</si>
  <si>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</si>
  <si>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/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</si>
  <si>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</si>
  <si>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</si>
  <si>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</si>
  <si>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</si>
  <si>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</si>
  <si>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</si>
  <si>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</si>
  <si>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</si>
  <si>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</si>
  <si>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</si>
  <si>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</si>
  <si>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</si>
  <si>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</si>
  <si>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</si>
  <si>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</si>
  <si>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</si>
  <si>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</si>
  <si>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</si>
  <si>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</si>
  <si>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</si>
  <si>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</si>
  <si>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</si>
  <si>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</si>
  <si>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</si>
  <si>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</si>
  <si>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</si>
  <si>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</si>
  <si>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</si>
  <si>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</si>
  <si>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</si>
  <si>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</si>
  <si>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</si>
  <si>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</si>
  <si>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</si>
  <si>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</si>
  <si>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</si>
  <si>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</si>
  <si>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</si>
  <si>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</si>
  <si>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</si>
  <si>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</si>
  <si>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</si>
  <si>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</si>
  <si>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</si>
  <si>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</si>
  <si>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</si>
  <si>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</si>
  <si>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</si>
  <si>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</si>
  <si>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</si>
  <si>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</si>
  <si>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</si>
  <si>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</si>
  <si>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</si>
  <si>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</si>
  <si>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</si>
  <si>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</si>
  <si>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</si>
  <si>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</si>
  <si>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</si>
  <si>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</si>
  <si>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</si>
  <si>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</si>
  <si>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</si>
  <si>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</si>
  <si>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</si>
  <si>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</si>
  <si>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</si>
  <si>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</si>
  <si>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</si>
  <si>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</si>
  <si>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</si>
  <si>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</si>
  <si>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</si>
  <si>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</si>
  <si>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</si>
  <si>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</si>
  <si>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</si>
  <si>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</si>
  <si>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</si>
  <si>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</si>
  <si>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</si>
  <si>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</si>
  <si>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</si>
  <si>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</si>
  <si>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</si>
  <si>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</si>
  <si>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</si>
  <si>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</si>
  <si>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</si>
  <si>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</si>
  <si>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</si>
  <si>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</si>
  <si>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</si>
  <si>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</si>
  <si>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</si>
  <si>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</si>
  <si>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</si>
  <si>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</si>
  <si>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</si>
  <si>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</si>
  <si>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</si>
  <si>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</si>
  <si>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</si>
  <si>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</si>
  <si>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</si>
  <si>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</si>
  <si>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</si>
  <si>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</si>
  <si>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</si>
  <si>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</si>
  <si>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</si>
  <si>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</si>
  <si>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</si>
  <si>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</si>
  <si>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</si>
  <si>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</si>
  <si>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</si>
  <si>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</si>
  <si>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</si>
  <si>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</si>
  <si>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</si>
  <si>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</si>
  <si>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</si>
  <si>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</si>
  <si>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</si>
  <si>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</si>
  <si>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</si>
  <si>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</si>
  <si>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</si>
  <si>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</si>
  <si>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</si>
  <si>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</si>
  <si>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</si>
  <si>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</si>
  <si>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</si>
  <si>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</si>
  <si>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</si>
  <si>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</si>
  <si>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</si>
  <si>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</si>
  <si>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</si>
  <si>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</si>
  <si>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</si>
  <si>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</si>
  <si>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</si>
  <si>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</si>
  <si>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</si>
  <si>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</si>
  <si>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</si>
  <si>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</si>
  <si>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</si>
  <si>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</si>
  <si>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</si>
  <si>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</si>
  <si>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</si>
  <si>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</si>
  <si>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</si>
  <si>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</si>
  <si>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</si>
  <si>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</si>
  <si>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</si>
  <si>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</si>
  <si>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</si>
  <si>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</si>
  <si>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</si>
  <si>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</si>
  <si>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</si>
  <si>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</si>
  <si>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</si>
  <si>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</si>
  <si>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</si>
  <si>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Área ejecutora (de la Inspección):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</si>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</sst>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10"/>
      <color theme="0" tint="-0.499984740745262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6" fillId="6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vertical="center" wrapText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1" fillId="0" borderId="5" xfId="0" quotePrefix="1" applyFont="1" applyBorder="1" applyAlignment="1" applyProtection="1">
      <alignment horizontal="center" vertical="center"/>
      <protection hidden="1"/>
    </xf>
    <xf numFmtId="0" fontId="2" fillId="0" borderId="5" xfId="0" quotePrefix="1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1" fillId="0" borderId="5" xfId="0" applyFont="1" applyFill="1" applyBorder="1" applyAlignment="1" applyProtection="1">
      <alignment horizontal="left" vertical="center" wrapText="1"/>
      <protection hidden="1"/>
    </xf>
    <xf numFmtId="0" fontId="11" fillId="0" borderId="5" xfId="0" applyFont="1" applyFill="1" applyBorder="1" applyAlignment="1" applyProtection="1">
      <alignment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0" fontId="2" fillId="0" borderId="0" xfId="0" applyFont="1" applyProtection="1">
      <protection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 wrapText="1"/>
    </xf>
    <xf numFmtId="0" fontId="1" fillId="0" borderId="5" xfId="1" quotePrefix="1" applyFont="1" applyBorder="1" applyAlignment="1">
      <alignment horizontal="left" vertical="center" wrapText="1"/>
    </xf>
    <xf numFmtId="0" fontId="1" fillId="0" borderId="5" xfId="1" applyFont="1" applyFill="1" applyBorder="1" applyAlignment="1">
      <alignment horizontal="center" vertical="center"/>
    </xf>
    <xf numFmtId="0" fontId="1" fillId="0" borderId="5" xfId="1" quotePrefix="1" applyFont="1" applyFill="1" applyBorder="1" applyAlignment="1">
      <alignment horizontal="left" vertical="center" wrapText="1"/>
    </xf>
    <xf numFmtId="0" fontId="1" fillId="0" borderId="5" xfId="1" applyFont="1" applyFill="1" applyBorder="1" applyAlignment="1">
      <alignment vertical="center" wrapText="1"/>
    </xf>
    <xf numFmtId="0" fontId="14" fillId="0" borderId="0" xfId="1" applyFont="1" applyFill="1"/>
    <xf numFmtId="0" fontId="14" fillId="0" borderId="0" xfId="1" applyFont="1" applyFill="1" applyAlignment="1">
      <alignment horizontal="center"/>
    </xf>
    <xf numFmtId="0" fontId="1" fillId="0" borderId="0" xfId="1" applyFont="1" applyFill="1"/>
    <xf numFmtId="0" fontId="1" fillId="0" borderId="0" xfId="1" applyFont="1" applyFill="1" applyAlignment="1">
      <alignment horizontal="center"/>
    </xf>
    <xf numFmtId="0" fontId="13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0" xfId="1" applyFont="1" applyFill="1" applyAlignment="1">
      <alignment vertical="center" wrapText="1"/>
    </xf>
    <xf numFmtId="0" fontId="1" fillId="0" borderId="5" xfId="1" applyFont="1" applyBorder="1" applyAlignment="1">
      <alignment horizontal="center" vertical="center" wrapText="1"/>
    </xf>
    <xf numFmtId="0" fontId="3" fillId="0" borderId="5" xfId="1" applyFont="1" applyFill="1" applyBorder="1" applyAlignment="1">
      <alignment horizontal="center" vertical="center"/>
    </xf>
    <xf numFmtId="0" fontId="1" fillId="0" borderId="0" xfId="1" applyFont="1" applyFill="1" applyAlignment="1">
      <alignment horizontal="center" vertical="center"/>
    </xf>
    <xf numFmtId="0" fontId="1" fillId="0" borderId="0" xfId="1" applyFont="1" applyFill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1" fillId="0" borderId="5" xfId="1" applyFont="1" applyFill="1" applyBorder="1" applyAlignment="1">
      <alignment horizontal="center" vertical="center" wrapText="1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top" wrapText="1"/>
    </xf>
    <xf numFmtId="0" fontId="1" fillId="0" borderId="0" xfId="1" applyFont="1" applyFill="1" applyBorder="1" applyAlignment="1">
      <alignment horizontal="center" vertical="center" wrapText="1"/>
    </xf>
    <xf numFmtId="165" fontId="1" fillId="0" borderId="6" xfId="1" applyNumberFormat="1" applyFont="1" applyFill="1" applyBorder="1" applyAlignment="1">
      <alignment horizontal="center" vertical="center" wrapText="1"/>
    </xf>
    <xf numFmtId="0" fontId="1" fillId="0" borderId="0" xfId="1" applyFont="1" applyFill="1" applyBorder="1" applyAlignment="1">
      <alignment horizontal="center"/>
    </xf>
    <xf numFmtId="0" fontId="1" fillId="0" borderId="6" xfId="1" applyFont="1" applyFill="1" applyBorder="1" applyAlignment="1">
      <alignment horizontal="center"/>
    </xf>
    <xf numFmtId="0" fontId="1" fillId="0" borderId="0" xfId="1" applyFont="1" applyFill="1" applyBorder="1"/>
    <xf numFmtId="0" fontId="3" fillId="0" borderId="9" xfId="1" applyFont="1" applyFill="1" applyBorder="1" applyAlignment="1">
      <alignment horizontal="left"/>
    </xf>
    <xf numFmtId="0" fontId="3" fillId="0" borderId="0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center"/>
    </xf>
    <xf numFmtId="0" fontId="1" fillId="0" borderId="6" xfId="1" applyFont="1" applyFill="1" applyBorder="1" applyAlignment="1">
      <alignment horizontal="center" vertical="center"/>
    </xf>
    <xf numFmtId="0" fontId="14" fillId="0" borderId="0" xfId="1" applyFont="1" applyFill="1" applyBorder="1"/>
    <xf numFmtId="0" fontId="14" fillId="0" borderId="6" xfId="1" applyFont="1" applyFill="1" applyBorder="1"/>
    <xf numFmtId="0" fontId="14" fillId="0" borderId="9" xfId="1" applyFont="1" applyFill="1" applyBorder="1"/>
    <xf numFmtId="0" fontId="14" fillId="0" borderId="0" xfId="1" applyFont="1" applyFill="1" applyBorder="1" applyAlignment="1">
      <alignment horizontal="center"/>
    </xf>
    <xf numFmtId="0" fontId="14" fillId="0" borderId="6" xfId="1" applyFont="1" applyFill="1" applyBorder="1" applyAlignment="1">
      <alignment horizontal="center"/>
    </xf>
    <xf numFmtId="0" fontId="3" fillId="0" borderId="0" xfId="1" applyFont="1" applyFill="1" applyBorder="1" applyAlignment="1">
      <alignment horizontal="left"/>
    </xf>
    <xf numFmtId="0" fontId="14" fillId="0" borderId="9" xfId="1" applyFont="1" applyFill="1" applyBorder="1" applyAlignment="1">
      <alignment horizontal="center"/>
    </xf>
    <xf numFmtId="0" fontId="1" fillId="0" borderId="9" xfId="1" applyFont="1" applyFill="1" applyBorder="1" applyAlignment="1">
      <alignment horizontal="center"/>
    </xf>
    <xf numFmtId="0" fontId="1" fillId="0" borderId="8" xfId="1" applyFont="1" applyFill="1" applyBorder="1" applyAlignment="1">
      <alignment horizontal="center"/>
    </xf>
    <xf numFmtId="0" fontId="1" fillId="0" borderId="7" xfId="1" applyFont="1" applyFill="1" applyBorder="1" applyAlignment="1">
      <alignment horizontal="center"/>
    </xf>
    <xf numFmtId="0" fontId="1" fillId="0" borderId="1" xfId="1" applyFont="1" applyFill="1" applyBorder="1" applyAlignment="1">
      <alignment horizontal="center"/>
    </xf>
    <xf numFmtId="0" fontId="0" fillId="0" borderId="9" xfId="0" applyBorder="1"/>
    <xf numFmtId="0" fontId="0" fillId="0" borderId="0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6" fillId="0" borderId="0" xfId="0" applyFont="1" applyBorder="1"/>
    <xf numFmtId="0" fontId="2" fillId="0" borderId="0" xfId="0" applyFont="1" applyProtection="1"/>
    <xf numFmtId="0" fontId="2" fillId="4" borderId="2" xfId="0" applyFont="1" applyFill="1" applyBorder="1" applyAlignment="1" applyProtection="1">
      <alignment vertical="center" wrapText="1"/>
    </xf>
    <xf numFmtId="0" fontId="2" fillId="4" borderId="2" xfId="0" applyFont="1" applyFill="1" applyBorder="1" applyAlignment="1" applyProtection="1">
      <alignment horizontal="left" vertical="center" wrapText="1"/>
    </xf>
    <xf numFmtId="0" fontId="1" fillId="2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vertical="center" wrapText="1"/>
    </xf>
    <xf numFmtId="0" fontId="8" fillId="4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horizontal="center" vertical="center" wrapText="1"/>
    </xf>
    <xf numFmtId="164" fontId="1" fillId="2" borderId="0" xfId="0" applyNumberFormat="1" applyFont="1" applyFill="1" applyBorder="1" applyAlignment="1" applyProtection="1">
      <alignment horizontal="center" vertical="center"/>
    </xf>
    <xf numFmtId="0" fontId="3" fillId="2" borderId="0" xfId="0" applyFont="1" applyFill="1" applyBorder="1" applyAlignment="1" applyProtection="1">
      <alignment horizontal="center" vertical="center" wrapText="1"/>
    </xf>
    <xf numFmtId="0" fontId="2" fillId="0" borderId="9" xfId="0" applyFont="1" applyFill="1" applyBorder="1" applyProtection="1"/>
    <xf numFmtId="0" fontId="6" fillId="0" borderId="0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left" vertical="center" wrapText="1"/>
    </xf>
    <xf numFmtId="0" fontId="2" fillId="0" borderId="0" xfId="0" applyFont="1" applyFill="1" applyProtection="1"/>
    <xf numFmtId="0" fontId="2" fillId="0" borderId="9" xfId="0" applyFont="1" applyBorder="1" applyProtection="1"/>
    <xf numFmtId="0" fontId="3" fillId="2" borderId="0" xfId="0" applyFont="1" applyFill="1" applyBorder="1" applyAlignment="1" applyProtection="1">
      <alignment horizontal="right" vertical="center" wrapText="1"/>
    </xf>
    <xf numFmtId="0" fontId="2" fillId="0" borderId="0" xfId="0" applyFont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1" fillId="2" borderId="6" xfId="0" applyFont="1" applyFill="1" applyBorder="1" applyAlignment="1" applyProtection="1">
      <alignment vertical="center" wrapText="1"/>
    </xf>
    <xf numFmtId="0" fontId="2" fillId="0" borderId="8" xfId="0" applyFont="1" applyBorder="1" applyProtection="1"/>
    <xf numFmtId="0" fontId="3" fillId="2" borderId="7" xfId="0" applyFont="1" applyFill="1" applyBorder="1" applyAlignment="1" applyProtection="1">
      <alignment horizontal="right" vertical="center" wrapText="1"/>
    </xf>
    <xf numFmtId="0" fontId="1" fillId="2" borderId="7" xfId="0" applyFont="1" applyFill="1" applyBorder="1" applyAlignment="1" applyProtection="1">
      <alignment horizontal="center" vertical="center" wrapText="1"/>
    </xf>
    <xf numFmtId="0" fontId="2" fillId="0" borderId="7" xfId="0" applyFont="1" applyBorder="1" applyAlignment="1" applyProtection="1">
      <alignment horizontal="left"/>
    </xf>
    <xf numFmtId="0" fontId="1" fillId="2" borderId="7" xfId="0" applyFont="1" applyFill="1" applyBorder="1" applyAlignment="1" applyProtection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3" fillId="3" borderId="0" xfId="0" applyFont="1" applyFill="1" applyAlignment="1" applyProtection="1">
      <alignment horizontal="right" vertical="center"/>
    </xf>
    <xf numFmtId="0" fontId="1" fillId="3" borderId="0" xfId="0" applyFont="1" applyFill="1" applyAlignment="1" applyProtection="1">
      <alignment vertical="center"/>
    </xf>
    <xf numFmtId="0" fontId="2" fillId="0" borderId="12" xfId="0" applyFont="1" applyFill="1" applyBorder="1" applyProtection="1"/>
    <xf numFmtId="0" fontId="6" fillId="0" borderId="11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Protection="1"/>
    <xf numFmtId="0" fontId="3" fillId="3" borderId="0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/>
    </xf>
    <xf numFmtId="0" fontId="3" fillId="3" borderId="0" xfId="0" applyFont="1" applyFill="1" applyBorder="1" applyAlignment="1" applyProtection="1">
      <alignment horizontal="right"/>
    </xf>
    <xf numFmtId="0" fontId="1" fillId="3" borderId="0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vertical="center"/>
    </xf>
    <xf numFmtId="0" fontId="1" fillId="3" borderId="6" xfId="0" applyFont="1" applyFill="1" applyBorder="1" applyProtection="1"/>
    <xf numFmtId="0" fontId="3" fillId="3" borderId="0" xfId="0" applyFont="1" applyFill="1" applyBorder="1" applyAlignment="1" applyProtection="1">
      <alignment horizontal="right" vertical="center"/>
    </xf>
    <xf numFmtId="0" fontId="3" fillId="3" borderId="9" xfId="0" applyFont="1" applyFill="1" applyBorder="1" applyAlignment="1" applyProtection="1">
      <alignment horizontal="right" vertical="center"/>
    </xf>
    <xf numFmtId="0" fontId="2" fillId="0" borderId="9" xfId="0" applyFont="1" applyBorder="1" applyAlignment="1" applyProtection="1">
      <alignment horizontal="center"/>
    </xf>
    <xf numFmtId="0" fontId="3" fillId="3" borderId="6" xfId="0" applyFont="1" applyFill="1" applyBorder="1" applyAlignment="1" applyProtection="1">
      <alignment vertical="center" wrapText="1"/>
    </xf>
    <xf numFmtId="0" fontId="2" fillId="0" borderId="0" xfId="0" applyFont="1" applyBorder="1" applyProtection="1"/>
    <xf numFmtId="0" fontId="9" fillId="3" borderId="0" xfId="0" applyFont="1" applyFill="1" applyBorder="1" applyAlignment="1" applyProtection="1">
      <alignment vertical="center"/>
    </xf>
    <xf numFmtId="0" fontId="9" fillId="3" borderId="6" xfId="0" applyFont="1" applyFill="1" applyBorder="1" applyProtection="1"/>
    <xf numFmtId="0" fontId="10" fillId="3" borderId="0" xfId="0" applyFont="1" applyFill="1" applyBorder="1" applyAlignment="1" applyProtection="1">
      <alignment horizontal="center" vertical="center" wrapText="1"/>
    </xf>
    <xf numFmtId="0" fontId="7" fillId="3" borderId="6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 wrapText="1"/>
    </xf>
    <xf numFmtId="0" fontId="3" fillId="3" borderId="7" xfId="0" applyFont="1" applyFill="1" applyBorder="1" applyAlignment="1" applyProtection="1">
      <alignment horizontal="right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Protection="1"/>
    <xf numFmtId="0" fontId="3" fillId="3" borderId="0" xfId="0" applyFont="1" applyFill="1" applyBorder="1" applyAlignment="1" applyProtection="1">
      <alignment horizontal="right" vertical="center" wrapText="1"/>
    </xf>
    <xf numFmtId="0" fontId="6" fillId="6" borderId="3" xfId="0" applyFont="1" applyFill="1" applyBorder="1" applyAlignment="1" applyProtection="1">
      <alignment vertical="center" wrapText="1"/>
    </xf>
    <xf numFmtId="0" fontId="6" fillId="6" borderId="4" xfId="0" applyFont="1" applyFill="1" applyBorder="1" applyAlignment="1" applyProtection="1">
      <alignment vertical="center" wrapText="1"/>
    </xf>
    <xf numFmtId="0" fontId="6" fillId="5" borderId="5" xfId="0" applyFont="1" applyFill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1" fillId="0" borderId="5" xfId="0" applyFont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7" fillId="3" borderId="2" xfId="0" applyFont="1" applyFill="1" applyBorder="1" applyAlignment="1" applyProtection="1">
      <alignment horizontal="center" vertical="center" wrapText="1"/>
    </xf>
    <xf numFmtId="0" fontId="7" fillId="3" borderId="3" xfId="0" applyFont="1" applyFill="1" applyBorder="1" applyAlignment="1" applyProtection="1">
      <alignment horizontal="center" vertical="center" wrapText="1"/>
    </xf>
    <xf numFmtId="0" fontId="7" fillId="3" borderId="4" xfId="0" applyFont="1" applyFill="1" applyBorder="1" applyAlignment="1" applyProtection="1">
      <alignment horizontal="center" vertical="center" wrapText="1"/>
    </xf>
    <xf numFmtId="0" fontId="1" fillId="3" borderId="5" xfId="0" applyFont="1" applyFill="1" applyBorder="1" applyAlignment="1" applyProtection="1">
      <alignment horizontal="center" vertical="center"/>
    </xf>
    <xf numFmtId="0" fontId="2" fillId="0" borderId="5" xfId="0" applyFont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right" vertical="center" wrapText="1"/>
    </xf>
    <xf numFmtId="0" fontId="3" fillId="3" borderId="0" xfId="0" applyFont="1" applyFill="1" applyBorder="1" applyAlignment="1" applyProtection="1">
      <alignment horizontal="left" vertical="center"/>
    </xf>
    <xf numFmtId="0" fontId="3" fillId="3" borderId="6" xfId="0" applyFont="1" applyFill="1" applyBorder="1" applyAlignment="1" applyProtection="1">
      <alignment horizontal="left" vertical="center"/>
    </xf>
    <xf numFmtId="0" fontId="1" fillId="3" borderId="2" xfId="0" applyFont="1" applyFill="1" applyBorder="1" applyAlignment="1" applyProtection="1">
      <alignment horizontal="center" vertical="center"/>
    </xf>
    <xf numFmtId="0" fontId="1" fillId="3" borderId="3" xfId="0" applyFont="1" applyFill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left" vertical="center" wrapText="1"/>
    </xf>
    <xf numFmtId="0" fontId="3" fillId="3" borderId="6" xfId="0" applyFont="1" applyFill="1" applyBorder="1" applyAlignment="1" applyProtection="1">
      <alignment horizontal="left" vertical="center" wrapText="1"/>
    </xf>
    <xf numFmtId="0" fontId="1" fillId="3" borderId="0" xfId="0" applyFont="1" applyFill="1" applyBorder="1" applyAlignment="1" applyProtection="1">
      <alignment horizontal="center" vertical="center" wrapText="1"/>
    </xf>
    <xf numFmtId="0" fontId="1" fillId="3" borderId="11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left" vertical="center" wrapText="1"/>
    </xf>
    <xf numFmtId="0" fontId="1" fillId="3" borderId="3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center" vertical="center" wrapText="1"/>
    </xf>
    <xf numFmtId="0" fontId="1" fillId="3" borderId="3" xfId="0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6" fillId="5" borderId="2" xfId="0" applyFont="1" applyFill="1" applyBorder="1" applyAlignment="1" applyProtection="1">
      <alignment horizontal="center" vertical="center" wrapText="1"/>
    </xf>
    <xf numFmtId="0" fontId="6" fillId="5" borderId="3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3" fillId="3" borderId="2" xfId="0" applyFont="1" applyFill="1" applyBorder="1" applyAlignment="1" applyProtection="1">
      <alignment horizontal="center" vertical="center" wrapText="1"/>
    </xf>
    <xf numFmtId="0" fontId="3" fillId="3" borderId="3" xfId="0" applyFont="1" applyFill="1" applyBorder="1" applyAlignment="1" applyProtection="1">
      <alignment horizontal="center" vertical="center" wrapText="1"/>
    </xf>
    <xf numFmtId="0" fontId="3" fillId="3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6" fillId="0" borderId="2" xfId="0" applyFont="1" applyFill="1" applyBorder="1" applyAlignment="1" applyProtection="1">
      <alignment horizontal="center" vertical="center" wrapText="1"/>
    </xf>
    <xf numFmtId="0" fontId="6" fillId="0" borderId="3" xfId="0" applyFont="1" applyFill="1" applyBorder="1" applyAlignment="1" applyProtection="1">
      <alignment horizontal="center" vertical="center" wrapText="1"/>
    </xf>
    <xf numFmtId="0" fontId="6" fillId="0" borderId="4" xfId="0" applyFont="1" applyFill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left" vertical="center" wrapText="1"/>
    </xf>
    <xf numFmtId="0" fontId="6" fillId="6" borderId="2" xfId="0" applyFont="1" applyFill="1" applyBorder="1" applyAlignment="1" applyProtection="1">
      <alignment horizontal="left" vertical="center" wrapText="1"/>
    </xf>
    <xf numFmtId="0" fontId="6" fillId="6" borderId="3" xfId="0" applyFont="1" applyFill="1" applyBorder="1" applyAlignment="1" applyProtection="1">
      <alignment horizontal="left" vertical="center" wrapText="1"/>
    </xf>
    <xf numFmtId="0" fontId="2" fillId="0" borderId="12" xfId="0" applyFont="1" applyBorder="1" applyAlignment="1" applyProtection="1">
      <alignment horizontal="center"/>
    </xf>
    <xf numFmtId="0" fontId="2" fillId="0" borderId="11" xfId="0" applyFont="1" applyBorder="1" applyAlignment="1" applyProtection="1">
      <alignment horizontal="center"/>
    </xf>
    <xf numFmtId="0" fontId="2" fillId="0" borderId="10" xfId="0" applyFont="1" applyBorder="1" applyAlignment="1" applyProtection="1">
      <alignment horizontal="center"/>
    </xf>
    <xf numFmtId="0" fontId="2" fillId="0" borderId="9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2" fillId="0" borderId="6" xfId="0" applyFont="1" applyBorder="1" applyAlignment="1" applyProtection="1">
      <alignment horizontal="center"/>
    </xf>
    <xf numFmtId="0" fontId="2" fillId="0" borderId="8" xfId="0" applyFont="1" applyBorder="1" applyAlignment="1" applyProtection="1">
      <alignment horizontal="center"/>
    </xf>
    <xf numFmtId="0" fontId="2" fillId="0" borderId="7" xfId="0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/>
    </xf>
    <xf numFmtId="0" fontId="6" fillId="6" borderId="4" xfId="0" applyFont="1" applyFill="1" applyBorder="1" applyAlignment="1" applyProtection="1">
      <alignment horizontal="left" vertical="center" wrapText="1"/>
    </xf>
    <xf numFmtId="14" fontId="1" fillId="0" borderId="3" xfId="0" applyNumberFormat="1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 wrapText="1"/>
    </xf>
    <xf numFmtId="0" fontId="1" fillId="0" borderId="4" xfId="0" applyFont="1" applyFill="1" applyBorder="1" applyAlignment="1" applyProtection="1">
      <alignment horizontal="center" vertical="center" wrapText="1"/>
    </xf>
    <xf numFmtId="0" fontId="1" fillId="0" borderId="2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3" fillId="3" borderId="6" xfId="0" applyFont="1" applyFill="1" applyBorder="1" applyAlignment="1" applyProtection="1">
      <alignment horizontal="right" vertical="center"/>
    </xf>
    <xf numFmtId="14" fontId="2" fillId="0" borderId="3" xfId="0" applyNumberFormat="1" applyFont="1" applyBorder="1" applyAlignment="1" applyProtection="1">
      <alignment horizontal="center"/>
    </xf>
    <xf numFmtId="0" fontId="2" fillId="4" borderId="2" xfId="0" applyFont="1" applyFill="1" applyBorder="1" applyAlignment="1" applyProtection="1">
      <alignment horizontal="left" vertical="center" wrapText="1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4" borderId="3" xfId="0" quotePrefix="1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horizontal="center" vertical="center" wrapText="1"/>
    </xf>
    <xf numFmtId="0" fontId="2" fillId="4" borderId="4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 wrapText="1"/>
    </xf>
    <xf numFmtId="0" fontId="2" fillId="0" borderId="3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3" fillId="2" borderId="12" xfId="0" applyFont="1" applyFill="1" applyBorder="1" applyAlignment="1" applyProtection="1">
      <alignment horizontal="center" vertical="center" wrapText="1"/>
    </xf>
    <xf numFmtId="0" fontId="3" fillId="2" borderId="11" xfId="0" applyFont="1" applyFill="1" applyBorder="1" applyAlignment="1" applyProtection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center" vertical="center" wrapText="1"/>
    </xf>
    <xf numFmtId="0" fontId="3" fillId="2" borderId="8" xfId="0" applyFont="1" applyFill="1" applyBorder="1" applyAlignment="1" applyProtection="1">
      <alignment horizontal="center" vertical="center" wrapText="1"/>
    </xf>
    <xf numFmtId="0" fontId="3" fillId="2" borderId="7" xfId="0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17" fillId="2" borderId="2" xfId="0" applyFont="1" applyFill="1" applyBorder="1" applyAlignment="1" applyProtection="1">
      <alignment horizontal="center" vertical="center" wrapText="1"/>
    </xf>
    <xf numFmtId="0" fontId="17" fillId="2" borderId="3" xfId="0" applyFont="1" applyFill="1" applyBorder="1" applyAlignment="1" applyProtection="1">
      <alignment horizontal="center" vertical="center" wrapText="1"/>
    </xf>
    <xf numFmtId="0" fontId="17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left" vertical="center" wrapText="1"/>
    </xf>
    <xf numFmtId="0" fontId="1" fillId="0" borderId="4" xfId="0" applyFont="1" applyFill="1" applyBorder="1" applyAlignment="1" applyProtection="1">
      <alignment horizontal="left" vertical="center" wrapText="1"/>
    </xf>
    <xf numFmtId="0" fontId="1" fillId="0" borderId="2" xfId="0" applyFont="1" applyFill="1" applyBorder="1" applyAlignment="1" applyProtection="1">
      <alignment horizontal="left" vertical="center"/>
    </xf>
    <xf numFmtId="0" fontId="1" fillId="0" borderId="3" xfId="0" applyFont="1" applyFill="1" applyBorder="1" applyAlignment="1" applyProtection="1">
      <alignment horizontal="left"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/>
    </xf>
    <xf numFmtId="0" fontId="6" fillId="6" borderId="7" xfId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/>
    </xf>
    <xf numFmtId="0" fontId="15" fillId="13" borderId="12" xfId="1" applyFont="1" applyFill="1" applyBorder="1" applyAlignment="1">
      <alignment horizontal="center" vertical="center"/>
    </xf>
    <xf numFmtId="0" fontId="15" fillId="13" borderId="11" xfId="1" applyFont="1" applyFill="1" applyBorder="1" applyAlignment="1">
      <alignment horizontal="center" vertical="center"/>
    </xf>
    <xf numFmtId="0" fontId="15" fillId="13" borderId="10" xfId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  <xf numFmtId="0" fontId="19" fillId="0" borderId="0" xfId="0" quotePrefix="1" applyFont="1" applyAlignment="1" applyProtection="1">
      <alignment vertical="center" wrapText="1"/>
      <protection hidden="1"/>
    </xf>
    <xf numFmtId="0" fontId="20" fillId="0" borderId="0" xfId="0" quotePrefix="1" applyFont="1" applyAlignment="1" applyProtection="1">
      <alignment vertical="center" wrapText="1"/>
      <protection hidden="1"/>
    </xf>
    <xf numFmtId="49" fontId="19" fillId="0" borderId="0" xfId="0" quotePrefix="1" applyNumberFormat="1" applyFont="1" applyAlignment="1" applyProtection="1">
      <alignment vertical="center" wrapText="1"/>
      <protection hidden="1"/>
    </xf>
    <xf numFmtId="0" fontId="20" fillId="0" borderId="0" xfId="0" applyFont="1" applyAlignment="1" applyProtection="1">
      <alignment vertical="center"/>
      <protection hidden="1"/>
    </xf>
    <xf numFmtId="0" fontId="21" fillId="0" borderId="0" xfId="0" applyFont="1"/>
    <xf numFmtId="0" fontId="18" fillId="0" borderId="0" xfId="0" applyFont="1"/>
    <xf numFmtId="0" fontId="22" fillId="4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2" fillId="2" borderId="0" xfId="0" applyFont="1" applyFill="1"/>
  </cellXfs>
  <cellStyles count="3">
    <cellStyle name="1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111068</xdr:colOff>
      <xdr:row>0</xdr:row>
      <xdr:rowOff>76622</xdr:rowOff>
    </xdr:from>
    <xdr:to>
      <xdr:col>5</xdr:col>
      <xdr:colOff>0</xdr:colOff>
      <xdr:row>1</xdr:row>
      <xdr:rowOff>263801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225368" y="76622"/>
          <a:ext cx="1946332" cy="437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361950</xdr:colOff>
      <xdr:row>1</xdr:row>
      <xdr:rowOff>292554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8314524" y="67734"/>
          <a:ext cx="459251" cy="4751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64"/>
  <sheetViews>
    <sheetView topLeftCell="A6" workbookViewId="0">
      <selection activeCell="B13" sqref="B13"/>
    </sheetView>
  </sheetViews>
  <sheetFormatPr baseColWidth="10" defaultColWidth="11.44140625" defaultRowHeight="13.2" x14ac:dyDescent="0.25"/>
  <cols>
    <col min="1" max="1" width="17.33203125" style="19" customWidth="1"/>
    <col min="2" max="2" width="14" style="19" customWidth="1"/>
    <col min="3" max="3" width="14.6640625" style="19" customWidth="1"/>
    <col min="4" max="4" width="18" style="19" customWidth="1"/>
    <col min="5" max="5" width="15.44140625" style="19" customWidth="1"/>
    <col min="6" max="6" width="20" style="19" customWidth="1"/>
    <col min="7" max="7" width="15.5546875" style="19" bestFit="1" customWidth="1"/>
    <col min="8" max="17" width="16.109375" style="19" customWidth="1"/>
    <col min="18" max="18" width="5.109375" style="19" customWidth="1"/>
    <col min="19" max="19" width="17.6640625" style="19" customWidth="1"/>
    <col min="20" max="21" width="16.109375" style="19" customWidth="1"/>
    <col min="22" max="23" width="15.44140625" style="19" customWidth="1"/>
    <col min="24" max="24" width="22.5546875" style="19" customWidth="1"/>
    <col min="25" max="25" width="14.5546875" style="19" customWidth="1"/>
    <col min="26" max="27" width="15.109375" style="19" customWidth="1"/>
    <col min="28" max="28" width="11.44140625" style="19"/>
    <col min="29" max="29" width="13.6640625" style="19" customWidth="1"/>
    <col min="30" max="39" width="11.44140625" style="19"/>
    <col min="40" max="40" width="12.44140625" style="19" customWidth="1"/>
    <col min="41" max="41" width="17.5546875" style="19" customWidth="1"/>
    <col min="42" max="59" width="11.44140625" style="19"/>
    <col min="60" max="60" width="4.33203125" style="19" customWidth="1"/>
    <col min="61" max="61" width="17.6640625" style="19" customWidth="1"/>
    <col min="62" max="16384" width="11.44140625" style="19"/>
  </cols>
  <sheetData>
    <row r="1" spans="1:79" s="10" customFormat="1" ht="35.1" customHeight="1" x14ac:dyDescent="0.3">
      <c r="A1" s="8" t="s">
        <v>44</v>
      </c>
      <c r="B1" s="9" t="s">
        <v>42</v>
      </c>
      <c r="C1" s="9" t="s">
        <v>43</v>
      </c>
    </row>
    <row r="3" spans="1:79" s="10" customFormat="1" ht="35.1" customHeight="1" x14ac:dyDescent="0.3">
      <c r="A3" s="8" t="s">
        <v>39</v>
      </c>
      <c r="B3" s="9" t="s">
        <v>41</v>
      </c>
      <c r="C3" s="9" t="s">
        <v>220</v>
      </c>
      <c r="D3" s="9" t="s">
        <v>40</v>
      </c>
    </row>
    <row r="5" spans="1:79" s="10" customFormat="1" ht="35.1" customHeight="1" x14ac:dyDescent="0.3">
      <c r="A5" s="8" t="s">
        <v>46</v>
      </c>
      <c r="B5" s="11" t="str">
        <f>IF(Inspección!$C24="MA","Tolerable","")</f>
        <v/>
      </c>
      <c r="C5" s="12" t="str">
        <f>IF(Inspección!$C24="MA","Alerta","")</f>
        <v/>
      </c>
      <c r="D5" s="12" t="str">
        <f>IF(Inspección!$C24="MA","No aceptable","")</f>
        <v/>
      </c>
      <c r="E5" s="9" t="str">
        <f>IF(Inspección!$C24="SSO","Bajo","")</f>
        <v/>
      </c>
      <c r="F5" s="13" t="str">
        <f>IF(Inspección!$C24="SSO","Medio","")</f>
        <v/>
      </c>
      <c r="G5" s="13" t="str">
        <f>IF(Inspección!$C24="SSO","Alto","")</f>
        <v/>
      </c>
    </row>
    <row r="7" spans="1:79" s="16" customFormat="1" ht="56.25" customHeight="1" x14ac:dyDescent="0.3">
      <c r="A7" s="8" t="s">
        <v>120</v>
      </c>
      <c r="B7" s="14" t="s">
        <v>47</v>
      </c>
      <c r="C7" s="14" t="s">
        <v>48</v>
      </c>
      <c r="D7" s="14" t="s">
        <v>49</v>
      </c>
      <c r="E7" s="14" t="s">
        <v>50</v>
      </c>
      <c r="F7" s="14" t="s">
        <v>51</v>
      </c>
      <c r="G7" s="14" t="s">
        <v>52</v>
      </c>
      <c r="H7" s="14" t="s">
        <v>53</v>
      </c>
      <c r="I7" s="14" t="s">
        <v>54</v>
      </c>
      <c r="J7" s="14" t="s">
        <v>55</v>
      </c>
      <c r="K7" s="14" t="s">
        <v>56</v>
      </c>
      <c r="L7" s="14" t="s">
        <v>57</v>
      </c>
      <c r="M7" s="14" t="s">
        <v>58</v>
      </c>
      <c r="N7" s="14" t="s">
        <v>59</v>
      </c>
      <c r="O7" s="14" t="s">
        <v>60</v>
      </c>
      <c r="P7" s="14" t="s">
        <v>61</v>
      </c>
      <c r="Q7" s="14" t="s">
        <v>62</v>
      </c>
      <c r="R7" s="14" t="s">
        <v>126</v>
      </c>
      <c r="S7" s="8" t="s">
        <v>121</v>
      </c>
      <c r="T7" s="14" t="s">
        <v>63</v>
      </c>
      <c r="U7" s="14" t="s">
        <v>64</v>
      </c>
      <c r="V7" s="14" t="s">
        <v>65</v>
      </c>
      <c r="W7" s="14" t="s">
        <v>66</v>
      </c>
      <c r="X7" s="14" t="s">
        <v>67</v>
      </c>
      <c r="Y7" s="14" t="s">
        <v>68</v>
      </c>
      <c r="Z7" s="14" t="s">
        <v>69</v>
      </c>
      <c r="AA7" s="14" t="s">
        <v>70</v>
      </c>
      <c r="AB7" s="14" t="s">
        <v>71</v>
      </c>
      <c r="AC7" s="14" t="s">
        <v>72</v>
      </c>
      <c r="AD7" s="14" t="s">
        <v>74</v>
      </c>
      <c r="AE7" s="14" t="s">
        <v>73</v>
      </c>
      <c r="AF7" s="14" t="s">
        <v>75</v>
      </c>
      <c r="AG7" s="14" t="s">
        <v>76</v>
      </c>
      <c r="AH7" s="14" t="s">
        <v>77</v>
      </c>
      <c r="AI7" s="14" t="s">
        <v>78</v>
      </c>
      <c r="AJ7" s="14" t="s">
        <v>79</v>
      </c>
      <c r="AK7" s="14" t="s">
        <v>80</v>
      </c>
      <c r="AL7" s="14" t="s">
        <v>81</v>
      </c>
      <c r="AM7" s="14" t="s">
        <v>82</v>
      </c>
      <c r="AN7" s="14" t="s">
        <v>83</v>
      </c>
      <c r="AO7" s="8" t="s">
        <v>124</v>
      </c>
      <c r="AP7" s="15" t="s">
        <v>84</v>
      </c>
      <c r="AQ7" s="15" t="s">
        <v>85</v>
      </c>
      <c r="AR7" s="15" t="s">
        <v>86</v>
      </c>
      <c r="AS7" s="15" t="s">
        <v>87</v>
      </c>
      <c r="AT7" s="15" t="s">
        <v>88</v>
      </c>
      <c r="AU7" s="15" t="s">
        <v>89</v>
      </c>
      <c r="AV7" s="15" t="s">
        <v>90</v>
      </c>
      <c r="AW7" s="15" t="s">
        <v>91</v>
      </c>
      <c r="AX7" s="15" t="s">
        <v>92</v>
      </c>
      <c r="AY7" s="15" t="s">
        <v>93</v>
      </c>
      <c r="AZ7" s="15" t="s">
        <v>94</v>
      </c>
      <c r="BA7" s="15" t="s">
        <v>95</v>
      </c>
      <c r="BB7" s="15" t="s">
        <v>96</v>
      </c>
      <c r="BC7" s="15" t="s">
        <v>97</v>
      </c>
      <c r="BD7" s="15" t="s">
        <v>98</v>
      </c>
      <c r="BE7" s="15" t="s">
        <v>99</v>
      </c>
      <c r="BF7" s="15" t="s">
        <v>100</v>
      </c>
      <c r="BG7" s="15" t="s">
        <v>101</v>
      </c>
      <c r="BH7" s="14" t="s">
        <v>126</v>
      </c>
      <c r="BI7" s="8" t="s">
        <v>125</v>
      </c>
      <c r="BJ7" s="14" t="s">
        <v>119</v>
      </c>
      <c r="BK7" s="14" t="s">
        <v>118</v>
      </c>
      <c r="BL7" s="14" t="s">
        <v>117</v>
      </c>
      <c r="BM7" s="14" t="s">
        <v>116</v>
      </c>
      <c r="BN7" s="14" t="s">
        <v>102</v>
      </c>
      <c r="BO7" s="14" t="s">
        <v>115</v>
      </c>
      <c r="BP7" s="14" t="s">
        <v>114</v>
      </c>
      <c r="BQ7" s="14" t="s">
        <v>113</v>
      </c>
      <c r="BR7" s="14" t="s">
        <v>112</v>
      </c>
      <c r="BS7" s="14" t="s">
        <v>111</v>
      </c>
      <c r="BT7" s="14" t="s">
        <v>110</v>
      </c>
      <c r="BU7" s="14" t="s">
        <v>109</v>
      </c>
      <c r="BV7" s="14" t="s">
        <v>108</v>
      </c>
      <c r="BW7" s="14" t="s">
        <v>107</v>
      </c>
      <c r="BX7" s="14" t="s">
        <v>106</v>
      </c>
      <c r="BY7" s="14" t="s">
        <v>105</v>
      </c>
      <c r="BZ7" s="14" t="s">
        <v>104</v>
      </c>
      <c r="CA7" s="14" t="s">
        <v>103</v>
      </c>
    </row>
    <row r="8" spans="1:79" s="234" customFormat="1" ht="15" customHeight="1" x14ac:dyDescent="0.3">
      <c r="A8" s="231" t="str">
        <f>IF(Inspección!$C24="MA",$A$7,"")</f>
        <v/>
      </c>
      <c r="B8" s="232" t="str">
        <f>IF(Inspección!$C24="MA",$B$7,"")</f>
        <v/>
      </c>
      <c r="C8" s="232" t="str">
        <f>IF(Inspección!$C24="MA",$C$7,"")</f>
        <v/>
      </c>
      <c r="D8" s="232" t="str">
        <f>IF(Inspección!$C24="MA",$D$7,"")</f>
        <v/>
      </c>
      <c r="E8" s="232" t="str">
        <f>IF(Inspección!$C24="MA",$E$7,"")</f>
        <v/>
      </c>
      <c r="F8" s="232" t="str">
        <f>IF(Inspección!$C24="MA",$F$7,"")</f>
        <v/>
      </c>
      <c r="G8" s="232" t="str">
        <f>IF(Inspección!$C24="MA",$G$7,"")</f>
        <v/>
      </c>
      <c r="H8" s="232" t="str">
        <f>IF(Inspección!$C24="MA",$H$7,"")</f>
        <v/>
      </c>
      <c r="I8" s="232" t="str">
        <f>IF(Inspección!$C24="MA",$I$7,"")</f>
        <v/>
      </c>
      <c r="J8" s="232" t="str">
        <f>IF(Inspección!$C24="MA",$J$7,"")</f>
        <v/>
      </c>
      <c r="K8" s="232" t="str">
        <f>IF(Inspección!$C24="MA",$K$7,"")</f>
        <v/>
      </c>
      <c r="L8" s="232" t="str">
        <f>IF(Inspección!$C24="MA",$L$7,"")</f>
        <v/>
      </c>
      <c r="M8" s="232" t="str">
        <f>IF(Inspección!$C24="MA",$M$7,"")</f>
        <v/>
      </c>
      <c r="N8" s="232" t="str">
        <f>IF(Inspección!$C24="MA",$N$7,"")</f>
        <v/>
      </c>
      <c r="O8" s="232" t="str">
        <f>IF(Inspección!$C24="MA",$O$7,"")</f>
        <v/>
      </c>
      <c r="P8" s="232" t="str">
        <f>IF(Inspección!$C24="MA",$P$7,"")</f>
        <v/>
      </c>
      <c r="Q8" s="232" t="str">
        <f>IF(Inspección!$C24="MA",$Q$7,"")</f>
        <v/>
      </c>
      <c r="R8" s="232" t="str">
        <f>IF(Inspección!$C24="MA",$R$7,"")</f>
        <v/>
      </c>
      <c r="S8" s="231" t="str">
        <f>IF(Inspección!$C24="MA",$S$7,"")</f>
        <v/>
      </c>
      <c r="T8" s="232" t="str">
        <f>IF(Inspección!$C24="MA",$T$7,"")</f>
        <v/>
      </c>
      <c r="U8" s="232" t="str">
        <f>IF(Inspección!$C24="MA",$U$7,"")</f>
        <v/>
      </c>
      <c r="V8" s="232" t="str">
        <f>IF(Inspección!$C24="MA",$V$7,"")</f>
        <v/>
      </c>
      <c r="W8" s="232" t="str">
        <f>IF(Inspección!$C24="MA",$W$7,"")</f>
        <v/>
      </c>
      <c r="X8" s="232" t="str">
        <f>IF(Inspección!$C24="MA",$X$7,"")</f>
        <v/>
      </c>
      <c r="Y8" s="232" t="str">
        <f>IF(Inspección!$C24="MA",$Y$7,"")</f>
        <v/>
      </c>
      <c r="Z8" s="232" t="str">
        <f>IF(Inspección!$C24="MA",$Z$7,"")</f>
        <v/>
      </c>
      <c r="AA8" s="232" t="str">
        <f>IF(Inspección!$C24="MA",$AA$7,"")</f>
        <v/>
      </c>
      <c r="AB8" s="232" t="str">
        <f>IF(Inspección!$C24="MA",$AB$7,"")</f>
        <v/>
      </c>
      <c r="AC8" s="232" t="str">
        <f>IF(Inspección!$C24="MA",$AC$7,"")</f>
        <v/>
      </c>
      <c r="AD8" s="232" t="str">
        <f>IF(Inspección!$C24="MA",$AD$7,"")</f>
        <v/>
      </c>
      <c r="AE8" s="232" t="str">
        <f>IF(Inspección!$C24="MA",$AE$7,"")</f>
        <v/>
      </c>
      <c r="AF8" s="232" t="str">
        <f>IF(Inspección!$C24="MA",$AF$7,"")</f>
        <v/>
      </c>
      <c r="AG8" s="232" t="str">
        <f>IF(Inspección!$C24="MA",$AG$7,"")</f>
        <v/>
      </c>
      <c r="AH8" s="232" t="str">
        <f>IF(Inspección!$C24="MA",$AH$7,"")</f>
        <v/>
      </c>
      <c r="AI8" s="232" t="str">
        <f>IF(Inspección!$C24="MA",$AI$7,"")</f>
        <v/>
      </c>
      <c r="AJ8" s="232" t="str">
        <f>IF(Inspección!$C24="MA",$AJ$7,"")</f>
        <v/>
      </c>
      <c r="AK8" s="232" t="str">
        <f>IF(Inspección!$C24="MA",$AK$7,"")</f>
        <v/>
      </c>
      <c r="AL8" s="232" t="str">
        <f>IF(Inspección!$C24="MA",$AL$7,"")</f>
        <v/>
      </c>
      <c r="AM8" s="232" t="str">
        <f>IF(Inspección!$C24="MA",$AM$7,"")</f>
        <v/>
      </c>
      <c r="AN8" s="232" t="str">
        <f>IF(Inspección!$C24="MA",$AN$7,"")</f>
        <v/>
      </c>
      <c r="AO8" s="232" t="str">
        <f>IF(Inspección!$C24="SSO",$AO$7,"")</f>
        <v/>
      </c>
      <c r="AP8" s="232" t="str">
        <f>IF(Inspección!$C24="SSO",$AP$7,"")</f>
        <v/>
      </c>
      <c r="AQ8" s="232" t="str">
        <f>IF(Inspección!$C24="SSO",$AQ$7,"")</f>
        <v/>
      </c>
      <c r="AR8" s="231" t="str">
        <f>IF(Inspección!$C24="SSO",$AR$7,"")</f>
        <v/>
      </c>
      <c r="AS8" s="232" t="str">
        <f>IF(Inspección!$C24="SSO",$AS$7,"")</f>
        <v/>
      </c>
      <c r="AT8" s="232" t="str">
        <f>IF(Inspección!$C24="SSO",$AT$7,"")</f>
        <v/>
      </c>
      <c r="AU8" s="232" t="str">
        <f>IF(Inspección!$C24="SSO",$AU$7,"")</f>
        <v/>
      </c>
      <c r="AV8" s="232" t="str">
        <f>IF(Inspección!$C24="SSO",$AV$7,"")</f>
        <v/>
      </c>
      <c r="AW8" s="232" t="str">
        <f>IF(Inspección!$C24="SSO",$AW$7,"")</f>
        <v/>
      </c>
      <c r="AX8" s="232" t="str">
        <f>IF(Inspección!$C24="SSO",$AX$7,"")</f>
        <v/>
      </c>
      <c r="AY8" s="232" t="str">
        <f>IF(Inspección!$C24="SSO",$AY$7,"")</f>
        <v/>
      </c>
      <c r="AZ8" s="232" t="str">
        <f>IF(Inspección!$C24="SSO",$AZ$7,"")</f>
        <v/>
      </c>
      <c r="BA8" s="232" t="str">
        <f>IF(Inspección!$C24="SSO",$BA$7,"")</f>
        <v/>
      </c>
      <c r="BB8" s="232" t="str">
        <f>IF(Inspección!$C24="SSO",$BB$7,"")</f>
        <v/>
      </c>
      <c r="BC8" s="232" t="str">
        <f>IF(Inspección!$C24="SSO",$BC$7,"")</f>
        <v/>
      </c>
      <c r="BD8" s="232" t="str">
        <f>IF(Inspección!$C24="SSO",$BD$7,"")</f>
        <v/>
      </c>
      <c r="BE8" s="232" t="str">
        <f>IF(Inspección!$C24="SSO",$BE$7,"")</f>
        <v/>
      </c>
      <c r="BF8" s="232" t="str">
        <f>IF(Inspección!$C24="SSO",$BF$7,"")</f>
        <v/>
      </c>
      <c r="BG8" s="232" t="str">
        <f>IF(Inspección!$C24="SSO",$BG$7,"")</f>
        <v/>
      </c>
      <c r="BH8" s="233" t="str">
        <f>IF(Inspección!$C24="SSO",$BH$7,"")</f>
        <v/>
      </c>
      <c r="BI8" s="231" t="str">
        <f>IF(Inspección!$C24="SSO",$BI$7,"")</f>
        <v/>
      </c>
      <c r="BJ8" s="232" t="str">
        <f>IF(Inspección!$C24="SSO",$BJ$7,"")</f>
        <v/>
      </c>
      <c r="BK8" s="232" t="str">
        <f>IF(Inspección!$C24="SSO",$BK$7,"")</f>
        <v/>
      </c>
      <c r="BL8" s="232" t="str">
        <f>IF(Inspección!$C24="SSO",$BL$7,"")</f>
        <v/>
      </c>
      <c r="BM8" s="232" t="str">
        <f>IF(Inspección!$C24="SSO",$BM$7,"")</f>
        <v/>
      </c>
      <c r="BN8" s="232" t="str">
        <f>IF(Inspección!$C24="SSO",$BN$7,"")</f>
        <v/>
      </c>
      <c r="BO8" s="232" t="str">
        <f>IF(Inspección!$C24="SSO",$BO$7,"")</f>
        <v/>
      </c>
      <c r="BP8" s="232" t="str">
        <f>IF(Inspección!$C24="SSO",$BP$7,"")</f>
        <v/>
      </c>
      <c r="BQ8" s="232" t="str">
        <f>IF(Inspección!$C24="SSO",$BQ$7,"")</f>
        <v/>
      </c>
      <c r="BR8" s="232" t="str">
        <f>IF(Inspección!$C24="SSO",$BR$7,"")</f>
        <v/>
      </c>
      <c r="BS8" s="232" t="str">
        <f>IF(Inspección!$C24="SSO",$BS$7,"")</f>
        <v/>
      </c>
      <c r="BT8" s="232" t="str">
        <f>IF(Inspección!$C24="SSO",$BT$7,"")</f>
        <v/>
      </c>
      <c r="BU8" s="232" t="str">
        <f>IF(Inspección!$C24="SSO",$BU$7,"")</f>
        <v/>
      </c>
      <c r="BV8" s="232" t="str">
        <f>IF(Inspección!$C24="SSO",$BV$7,"")</f>
        <v/>
      </c>
      <c r="BW8" s="232" t="str">
        <f>IF(Inspección!$C24="SSO",$BW$7,"")</f>
        <v/>
      </c>
      <c r="BX8" s="232" t="str">
        <f>IF(Inspección!$C24="SSO",$BX$7,"")</f>
        <v/>
      </c>
      <c r="BY8" s="232" t="str">
        <f>IF(Inspección!$C24="SSO",$BY$7,"")</f>
        <v/>
      </c>
      <c r="BZ8" s="232" t="str">
        <f>IF(Inspección!$C24="SSO",$BZ$7,"")</f>
        <v/>
      </c>
      <c r="CA8" s="232" t="str">
        <f>IF(Inspección!$C24="SSO",$CA$7,"")</f>
        <v/>
      </c>
    </row>
    <row r="9" spans="1:79" s="17" customFormat="1" x14ac:dyDescent="0.3"/>
    <row r="10" spans="1:79" s="18" customFormat="1" ht="15" customHeight="1" x14ac:dyDescent="0.25"/>
    <row r="11" spans="1:79" ht="14.4" x14ac:dyDescent="0.3">
      <c r="A11" s="235" t="s">
        <v>290</v>
      </c>
      <c r="B11" s="236"/>
      <c r="C11" s="235" t="s">
        <v>221</v>
      </c>
    </row>
    <row r="12" spans="1:79" ht="14.4" x14ac:dyDescent="0.3">
      <c r="A12" s="237" t="s">
        <v>222</v>
      </c>
      <c r="B12" s="236"/>
      <c r="C12" s="238" t="s">
        <v>223</v>
      </c>
    </row>
    <row r="13" spans="1:79" ht="14.4" x14ac:dyDescent="0.3">
      <c r="A13" s="237" t="s">
        <v>224</v>
      </c>
      <c r="B13" s="236"/>
      <c r="C13" s="238" t="s">
        <v>225</v>
      </c>
    </row>
    <row r="14" spans="1:79" ht="14.4" x14ac:dyDescent="0.3">
      <c r="A14" s="237" t="s">
        <v>226</v>
      </c>
      <c r="B14" s="236"/>
      <c r="C14" s="238" t="s">
        <v>227</v>
      </c>
    </row>
    <row r="15" spans="1:79" ht="14.4" x14ac:dyDescent="0.3">
      <c r="A15" s="237" t="s">
        <v>228</v>
      </c>
      <c r="B15" s="236"/>
      <c r="C15" s="238" t="s">
        <v>229</v>
      </c>
    </row>
    <row r="16" spans="1:79" ht="14.4" x14ac:dyDescent="0.3">
      <c r="A16" s="237" t="s">
        <v>230</v>
      </c>
      <c r="B16" s="236"/>
      <c r="C16" s="238" t="s">
        <v>231</v>
      </c>
    </row>
    <row r="17" spans="1:3" ht="14.4" x14ac:dyDescent="0.3">
      <c r="A17" s="236" t="s">
        <v>232</v>
      </c>
      <c r="B17" s="236"/>
      <c r="C17" s="238" t="s">
        <v>233</v>
      </c>
    </row>
    <row r="18" spans="1:3" ht="14.4" x14ac:dyDescent="0.3">
      <c r="A18" s="236" t="s">
        <v>234</v>
      </c>
      <c r="B18" s="236"/>
      <c r="C18" s="238" t="s">
        <v>235</v>
      </c>
    </row>
    <row r="19" spans="1:3" ht="14.4" x14ac:dyDescent="0.25">
      <c r="A19" s="237" t="s">
        <v>236</v>
      </c>
      <c r="B19" s="239"/>
      <c r="C19" s="238" t="s">
        <v>237</v>
      </c>
    </row>
    <row r="20" spans="1:3" ht="14.4" x14ac:dyDescent="0.3">
      <c r="A20" s="237" t="s">
        <v>238</v>
      </c>
      <c r="B20" s="236"/>
      <c r="C20" s="238" t="s">
        <v>239</v>
      </c>
    </row>
    <row r="21" spans="1:3" ht="14.4" x14ac:dyDescent="0.3">
      <c r="A21" s="237" t="s">
        <v>240</v>
      </c>
      <c r="B21" s="236"/>
      <c r="C21" s="238" t="s">
        <v>241</v>
      </c>
    </row>
    <row r="22" spans="1:3" ht="14.4" x14ac:dyDescent="0.3">
      <c r="A22" s="236" t="s">
        <v>242</v>
      </c>
      <c r="B22" s="236"/>
      <c r="C22" s="238" t="s">
        <v>243</v>
      </c>
    </row>
    <row r="23" spans="1:3" ht="14.4" x14ac:dyDescent="0.3">
      <c r="A23" s="236" t="s">
        <v>244</v>
      </c>
      <c r="B23" s="236"/>
      <c r="C23" s="238" t="s">
        <v>245</v>
      </c>
    </row>
    <row r="24" spans="1:3" ht="14.4" x14ac:dyDescent="0.3">
      <c r="A24" s="237" t="s">
        <v>246</v>
      </c>
      <c r="B24" s="236"/>
      <c r="C24" s="238" t="s">
        <v>247</v>
      </c>
    </row>
    <row r="25" spans="1:3" ht="14.4" x14ac:dyDescent="0.3">
      <c r="A25" s="237" t="s">
        <v>248</v>
      </c>
      <c r="B25" s="236"/>
      <c r="C25" s="238" t="s">
        <v>249</v>
      </c>
    </row>
    <row r="26" spans="1:3" ht="14.4" x14ac:dyDescent="0.3">
      <c r="A26" s="237" t="s">
        <v>250</v>
      </c>
      <c r="B26" s="236"/>
      <c r="C26" s="238" t="s">
        <v>251</v>
      </c>
    </row>
    <row r="27" spans="1:3" ht="14.4" x14ac:dyDescent="0.3">
      <c r="A27" s="237" t="s">
        <v>252</v>
      </c>
      <c r="B27" s="236"/>
      <c r="C27" s="238" t="s">
        <v>253</v>
      </c>
    </row>
    <row r="28" spans="1:3" ht="14.4" x14ac:dyDescent="0.3">
      <c r="A28" s="237" t="s">
        <v>254</v>
      </c>
      <c r="B28" s="236"/>
      <c r="C28" s="238" t="s">
        <v>255</v>
      </c>
    </row>
    <row r="29" spans="1:3" ht="14.4" x14ac:dyDescent="0.3">
      <c r="A29" s="236" t="s">
        <v>256</v>
      </c>
      <c r="B29" s="236"/>
      <c r="C29" s="238" t="s">
        <v>257</v>
      </c>
    </row>
    <row r="30" spans="1:3" ht="14.4" x14ac:dyDescent="0.3">
      <c r="A30" s="236" t="s">
        <v>258</v>
      </c>
      <c r="B30" s="236"/>
      <c r="C30" s="238" t="s">
        <v>259</v>
      </c>
    </row>
    <row r="31" spans="1:3" ht="14.4" x14ac:dyDescent="0.3">
      <c r="A31" s="237" t="s">
        <v>260</v>
      </c>
      <c r="B31" s="236"/>
      <c r="C31" s="236"/>
    </row>
    <row r="32" spans="1:3" ht="14.4" x14ac:dyDescent="0.3">
      <c r="A32" s="236" t="s">
        <v>261</v>
      </c>
      <c r="B32" s="236"/>
      <c r="C32" s="236"/>
    </row>
    <row r="33" spans="1:3" ht="14.4" x14ac:dyDescent="0.3">
      <c r="A33" s="237" t="s">
        <v>262</v>
      </c>
      <c r="B33" s="236"/>
      <c r="C33" s="236"/>
    </row>
    <row r="34" spans="1:3" ht="14.4" x14ac:dyDescent="0.3">
      <c r="A34" s="237" t="s">
        <v>263</v>
      </c>
      <c r="B34" s="236"/>
      <c r="C34" s="236"/>
    </row>
    <row r="35" spans="1:3" ht="14.4" x14ac:dyDescent="0.3">
      <c r="A35" s="236" t="s">
        <v>264</v>
      </c>
      <c r="B35" s="236"/>
      <c r="C35" s="236"/>
    </row>
    <row r="36" spans="1:3" ht="14.4" x14ac:dyDescent="0.3">
      <c r="A36" s="236" t="s">
        <v>265</v>
      </c>
      <c r="B36" s="236"/>
      <c r="C36" s="236"/>
    </row>
    <row r="37" spans="1:3" ht="14.4" x14ac:dyDescent="0.3">
      <c r="A37" s="237" t="s">
        <v>266</v>
      </c>
      <c r="B37" s="236"/>
      <c r="C37" s="236"/>
    </row>
    <row r="38" spans="1:3" ht="14.4" x14ac:dyDescent="0.3">
      <c r="A38" s="237" t="s">
        <v>267</v>
      </c>
      <c r="B38" s="236"/>
      <c r="C38" s="236"/>
    </row>
    <row r="39" spans="1:3" ht="14.4" x14ac:dyDescent="0.3">
      <c r="A39" s="240" t="s">
        <v>268</v>
      </c>
      <c r="B39" s="236"/>
      <c r="C39" s="236"/>
    </row>
    <row r="40" spans="1:3" ht="14.4" x14ac:dyDescent="0.3">
      <c r="A40" s="237" t="s">
        <v>269</v>
      </c>
      <c r="B40" s="236"/>
      <c r="C40" s="236"/>
    </row>
    <row r="41" spans="1:3" ht="14.4" x14ac:dyDescent="0.3">
      <c r="A41" s="237" t="s">
        <v>270</v>
      </c>
      <c r="B41" s="236"/>
      <c r="C41" s="236"/>
    </row>
    <row r="42" spans="1:3" ht="14.4" x14ac:dyDescent="0.3">
      <c r="A42" s="237" t="s">
        <v>271</v>
      </c>
      <c r="B42" s="236"/>
      <c r="C42" s="236"/>
    </row>
    <row r="43" spans="1:3" ht="14.4" x14ac:dyDescent="0.3">
      <c r="A43" s="236" t="s">
        <v>272</v>
      </c>
      <c r="B43" s="236"/>
      <c r="C43" s="236"/>
    </row>
    <row r="44" spans="1:3" ht="14.4" x14ac:dyDescent="0.3">
      <c r="A44" s="236" t="s">
        <v>273</v>
      </c>
      <c r="B44" s="236"/>
      <c r="C44" s="236"/>
    </row>
    <row r="45" spans="1:3" ht="14.4" x14ac:dyDescent="0.3">
      <c r="A45" s="237" t="s">
        <v>274</v>
      </c>
      <c r="B45" s="236"/>
      <c r="C45" s="236"/>
    </row>
    <row r="46" spans="1:3" ht="14.4" x14ac:dyDescent="0.3">
      <c r="A46" s="237" t="s">
        <v>275</v>
      </c>
      <c r="B46" s="236"/>
      <c r="C46" s="236"/>
    </row>
    <row r="47" spans="1:3" ht="14.4" x14ac:dyDescent="0.3">
      <c r="A47" s="237" t="s">
        <v>276</v>
      </c>
      <c r="B47" s="236"/>
      <c r="C47" s="236"/>
    </row>
    <row r="48" spans="1:3" ht="14.4" x14ac:dyDescent="0.3">
      <c r="A48" s="237" t="s">
        <v>277</v>
      </c>
      <c r="B48" s="236"/>
      <c r="C48" s="236"/>
    </row>
    <row r="49" spans="1:3" ht="14.4" x14ac:dyDescent="0.3">
      <c r="A49" s="236" t="s">
        <v>278</v>
      </c>
      <c r="B49" s="236"/>
      <c r="C49" s="236"/>
    </row>
    <row r="50" spans="1:3" ht="14.4" x14ac:dyDescent="0.3">
      <c r="A50" s="237" t="s">
        <v>279</v>
      </c>
      <c r="B50" s="236"/>
      <c r="C50" s="236"/>
    </row>
    <row r="51" spans="1:3" ht="14.4" x14ac:dyDescent="0.3">
      <c r="A51" s="236" t="s">
        <v>280</v>
      </c>
      <c r="B51" s="236"/>
      <c r="C51" s="236"/>
    </row>
    <row r="52" spans="1:3" ht="14.4" x14ac:dyDescent="0.3">
      <c r="A52" s="237" t="s">
        <v>281</v>
      </c>
      <c r="B52" s="236"/>
      <c r="C52" s="236"/>
    </row>
    <row r="53" spans="1:3" ht="14.4" x14ac:dyDescent="0.3">
      <c r="A53" s="236" t="s">
        <v>282</v>
      </c>
      <c r="B53" s="236"/>
      <c r="C53" s="236"/>
    </row>
    <row r="54" spans="1:3" ht="14.4" x14ac:dyDescent="0.3">
      <c r="A54" s="237" t="s">
        <v>283</v>
      </c>
      <c r="B54" s="236"/>
      <c r="C54" s="236"/>
    </row>
    <row r="55" spans="1:3" ht="14.4" x14ac:dyDescent="0.3">
      <c r="A55" s="237" t="s">
        <v>284</v>
      </c>
      <c r="B55" s="236"/>
      <c r="C55" s="236"/>
    </row>
    <row r="56" spans="1:3" ht="14.4" x14ac:dyDescent="0.3">
      <c r="A56" s="237" t="s">
        <v>285</v>
      </c>
      <c r="B56" s="236"/>
      <c r="C56" s="236"/>
    </row>
    <row r="57" spans="1:3" ht="14.4" x14ac:dyDescent="0.3">
      <c r="A57" s="236" t="s">
        <v>286</v>
      </c>
      <c r="B57" s="236"/>
      <c r="C57" s="236"/>
    </row>
    <row r="58" spans="1:3" ht="14.4" x14ac:dyDescent="0.3">
      <c r="A58" s="236" t="s">
        <v>287</v>
      </c>
      <c r="B58" s="236"/>
      <c r="C58" s="236"/>
    </row>
    <row r="59" spans="1:3" ht="14.4" x14ac:dyDescent="0.3">
      <c r="A59" s="237" t="s">
        <v>288</v>
      </c>
      <c r="B59" s="236"/>
      <c r="C59" s="236"/>
    </row>
    <row r="60" spans="1:3" ht="14.4" x14ac:dyDescent="0.3">
      <c r="A60" s="236" t="s">
        <v>289</v>
      </c>
      <c r="B60" s="236"/>
      <c r="C60" s="236"/>
    </row>
    <row r="61" spans="1:3" ht="14.4" x14ac:dyDescent="0.3">
      <c r="A61"/>
      <c r="B61"/>
      <c r="C61"/>
    </row>
    <row r="62" spans="1:3" ht="14.4" x14ac:dyDescent="0.3">
      <c r="A62"/>
      <c r="B62"/>
      <c r="C62"/>
    </row>
    <row r="63" spans="1:3" ht="14.4" x14ac:dyDescent="0.3">
      <c r="A63"/>
      <c r="B63"/>
      <c r="C63"/>
    </row>
    <row r="64" spans="1:3" ht="14.4" x14ac:dyDescent="0.3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28"/>
  <sheetViews>
    <sheetView showGridLines="0" tabSelected="1" zoomScale="70" zoomScaleNormal="70" zoomScaleSheetLayoutView="40" workbookViewId="0">
      <selection activeCell="R16" sqref="R16"/>
    </sheetView>
  </sheetViews>
  <sheetFormatPr baseColWidth="10" defaultColWidth="11.44140625" defaultRowHeight="13.2" x14ac:dyDescent="0.25"/>
  <cols>
    <col min="1" max="1" width="1.6640625" style="78" customWidth="1"/>
    <col min="2" max="2" width="4.88671875" style="78" customWidth="1"/>
    <col min="3" max="3" width="6.44140625" style="78" customWidth="1"/>
    <col min="4" max="4" width="7.44140625" style="78" customWidth="1"/>
    <col min="5" max="5" width="12.109375" style="78" customWidth="1"/>
    <col min="6" max="6" width="1.109375" style="78" customWidth="1"/>
    <col min="7" max="7" width="2.5546875" style="78" customWidth="1"/>
    <col min="8" max="8" width="7.88671875" style="78" customWidth="1"/>
    <col min="9" max="9" width="8" style="78" customWidth="1"/>
    <col min="10" max="10" width="10.6640625" style="78" customWidth="1"/>
    <col min="11" max="11" width="24" style="78" customWidth="1"/>
    <col min="12" max="12" width="4.88671875" style="78" customWidth="1"/>
    <col min="13" max="13" width="9.88671875" style="78" customWidth="1"/>
    <col min="14" max="14" width="8.33203125" style="78" customWidth="1"/>
    <col min="15" max="15" width="9" style="78" customWidth="1"/>
    <col min="16" max="16" width="7.6640625" style="78" customWidth="1"/>
    <col min="17" max="17" width="9.44140625" style="78" customWidth="1"/>
    <col min="18" max="18" width="11.88671875" style="78" customWidth="1"/>
    <col min="19" max="19" width="11" style="78" customWidth="1"/>
    <col min="20" max="20" width="12.6640625" style="78" customWidth="1"/>
    <col min="21" max="21" width="4" style="78" customWidth="1"/>
    <col min="22" max="22" width="12.6640625" style="78" customWidth="1"/>
    <col min="23" max="23" width="9.77734375" style="78" customWidth="1"/>
    <col min="24" max="24" width="19.44140625" style="78" customWidth="1"/>
    <col min="25" max="25" width="14.33203125" style="78" customWidth="1"/>
    <col min="26" max="26" width="12.109375" style="78" customWidth="1"/>
    <col min="27" max="27" width="17.44140625" style="78" customWidth="1"/>
    <col min="28" max="28" width="18" style="78" customWidth="1"/>
    <col min="29" max="29" width="7" style="78" customWidth="1"/>
    <col min="30" max="30" width="14.109375" style="78" customWidth="1"/>
    <col min="31" max="31" width="1.109375" style="78" customWidth="1"/>
    <col min="32" max="32" width="6.33203125" style="78" customWidth="1"/>
    <col min="33" max="16384" width="11.44140625" style="78"/>
  </cols>
  <sheetData>
    <row r="1" spans="1:32" ht="20.399999999999999" customHeight="1" x14ac:dyDescent="0.25">
      <c r="A1" s="173"/>
      <c r="B1" s="174"/>
      <c r="C1" s="174"/>
      <c r="D1" s="174"/>
      <c r="E1" s="174"/>
      <c r="F1" s="174"/>
      <c r="G1" s="175"/>
      <c r="H1" s="209" t="s">
        <v>0</v>
      </c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1"/>
      <c r="AB1" s="200"/>
      <c r="AC1" s="201"/>
      <c r="AD1" s="201"/>
      <c r="AE1" s="202"/>
    </row>
    <row r="2" spans="1:32" ht="29.4" customHeight="1" x14ac:dyDescent="0.25">
      <c r="A2" s="176"/>
      <c r="B2" s="177"/>
      <c r="C2" s="177"/>
      <c r="D2" s="177"/>
      <c r="E2" s="177"/>
      <c r="F2" s="177"/>
      <c r="G2" s="178"/>
      <c r="H2" s="79" t="s">
        <v>38</v>
      </c>
      <c r="I2" s="212" t="s">
        <v>1</v>
      </c>
      <c r="J2" s="212"/>
      <c r="K2" s="212"/>
      <c r="L2" s="212"/>
      <c r="M2" s="212"/>
      <c r="N2" s="212"/>
      <c r="O2" s="213"/>
      <c r="P2" s="186" t="s">
        <v>7</v>
      </c>
      <c r="Q2" s="184"/>
      <c r="R2" s="183">
        <v>43831</v>
      </c>
      <c r="S2" s="184"/>
      <c r="T2" s="184"/>
      <c r="U2" s="184"/>
      <c r="V2" s="185"/>
      <c r="W2" s="80" t="s">
        <v>8</v>
      </c>
      <c r="X2" s="193" t="s">
        <v>216</v>
      </c>
      <c r="Y2" s="194"/>
      <c r="Z2" s="194"/>
      <c r="AA2" s="195"/>
      <c r="AB2" s="203"/>
      <c r="AC2" s="204"/>
      <c r="AD2" s="204"/>
      <c r="AE2" s="205"/>
    </row>
    <row r="3" spans="1:32" ht="19.2" customHeight="1" x14ac:dyDescent="0.25">
      <c r="A3" s="179"/>
      <c r="B3" s="180"/>
      <c r="C3" s="180"/>
      <c r="D3" s="180"/>
      <c r="E3" s="180"/>
      <c r="F3" s="180"/>
      <c r="G3" s="181"/>
      <c r="H3" s="79" t="s">
        <v>10</v>
      </c>
      <c r="I3" s="212" t="s">
        <v>2</v>
      </c>
      <c r="J3" s="212"/>
      <c r="K3" s="212"/>
      <c r="L3" s="212"/>
      <c r="M3" s="212"/>
      <c r="N3" s="212"/>
      <c r="O3" s="213"/>
      <c r="P3" s="214" t="s">
        <v>32</v>
      </c>
      <c r="Q3" s="215"/>
      <c r="R3" s="164">
        <v>1</v>
      </c>
      <c r="S3" s="164"/>
      <c r="T3" s="164"/>
      <c r="U3" s="164"/>
      <c r="V3" s="165"/>
      <c r="W3" s="191" t="s">
        <v>9</v>
      </c>
      <c r="X3" s="192"/>
      <c r="Y3" s="190">
        <v>43800</v>
      </c>
      <c r="Z3" s="146"/>
      <c r="AA3" s="147"/>
      <c r="AB3" s="206"/>
      <c r="AC3" s="207"/>
      <c r="AD3" s="207"/>
      <c r="AE3" s="208"/>
    </row>
    <row r="4" spans="1:32" x14ac:dyDescent="0.25">
      <c r="B4" s="81"/>
      <c r="C4" s="81"/>
      <c r="D4" s="81"/>
      <c r="E4" s="81"/>
      <c r="F4" s="82"/>
      <c r="G4" s="82"/>
      <c r="H4" s="82"/>
      <c r="I4" s="82"/>
      <c r="J4" s="82"/>
      <c r="K4" s="83"/>
      <c r="L4" s="83"/>
      <c r="M4" s="83"/>
      <c r="N4" s="83"/>
      <c r="O4" s="83"/>
      <c r="P4" s="83"/>
      <c r="Q4" s="83"/>
      <c r="R4" s="83"/>
      <c r="S4" s="84"/>
      <c r="T4" s="84"/>
      <c r="U4" s="84"/>
      <c r="V4" s="84"/>
      <c r="W4" s="84"/>
      <c r="X4" s="85"/>
      <c r="Y4" s="84"/>
      <c r="Z4" s="84"/>
      <c r="AA4" s="81"/>
      <c r="AB4" s="81"/>
      <c r="AC4" s="81"/>
      <c r="AD4" s="86"/>
      <c r="AE4" s="86"/>
    </row>
    <row r="5" spans="1:32" ht="15" customHeight="1" x14ac:dyDescent="0.25">
      <c r="A5" s="171" t="s">
        <v>20</v>
      </c>
      <c r="B5" s="172"/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82"/>
    </row>
    <row r="6" spans="1:32" s="90" customFormat="1" ht="7.5" customHeight="1" x14ac:dyDescent="0.25">
      <c r="A6" s="87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9"/>
    </row>
    <row r="7" spans="1:32" ht="25.8" customHeight="1" x14ac:dyDescent="0.25">
      <c r="A7" s="91"/>
      <c r="B7" s="133" t="s">
        <v>21</v>
      </c>
      <c r="C7" s="133"/>
      <c r="D7" s="133"/>
      <c r="E7" s="133"/>
      <c r="F7" s="133"/>
      <c r="G7" s="133"/>
      <c r="H7" s="216" t="s">
        <v>22</v>
      </c>
      <c r="I7" s="217"/>
      <c r="J7" s="218"/>
      <c r="K7" s="92" t="s">
        <v>23</v>
      </c>
      <c r="L7" s="216">
        <v>20508972734</v>
      </c>
      <c r="M7" s="217"/>
      <c r="N7" s="218"/>
      <c r="O7" s="133" t="s">
        <v>24</v>
      </c>
      <c r="P7" s="133"/>
      <c r="Q7" s="199"/>
      <c r="R7" s="196" t="s">
        <v>25</v>
      </c>
      <c r="S7" s="197"/>
      <c r="T7" s="197"/>
      <c r="U7" s="197"/>
      <c r="V7" s="198"/>
      <c r="W7" s="93"/>
      <c r="X7" s="94" t="s">
        <v>26</v>
      </c>
      <c r="Y7" s="196" t="s">
        <v>27</v>
      </c>
      <c r="Z7" s="197"/>
      <c r="AA7" s="197"/>
      <c r="AB7" s="197"/>
      <c r="AC7" s="197"/>
      <c r="AD7" s="198"/>
      <c r="AE7" s="95"/>
    </row>
    <row r="8" spans="1:32" ht="7.5" customHeight="1" x14ac:dyDescent="0.25">
      <c r="A8" s="96"/>
      <c r="B8" s="97"/>
      <c r="C8" s="97"/>
      <c r="D8" s="97"/>
      <c r="E8" s="97"/>
      <c r="F8" s="98"/>
      <c r="G8" s="98"/>
      <c r="H8" s="98"/>
      <c r="I8" s="98"/>
      <c r="J8" s="97"/>
      <c r="K8" s="98"/>
      <c r="L8" s="98"/>
      <c r="M8" s="98"/>
      <c r="N8" s="97"/>
      <c r="O8" s="97"/>
      <c r="P8" s="97"/>
      <c r="Q8" s="97"/>
      <c r="R8" s="99"/>
      <c r="S8" s="99"/>
      <c r="T8" s="99"/>
      <c r="U8" s="99"/>
      <c r="V8" s="99"/>
      <c r="W8" s="99"/>
      <c r="X8" s="97"/>
      <c r="Y8" s="99"/>
      <c r="Z8" s="99"/>
      <c r="AA8" s="99"/>
      <c r="AB8" s="99"/>
      <c r="AC8" s="99"/>
      <c r="AD8" s="100"/>
      <c r="AE8" s="101"/>
    </row>
    <row r="9" spans="1:32" x14ac:dyDescent="0.25">
      <c r="B9" s="102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</row>
    <row r="10" spans="1:32" ht="15" customHeight="1" x14ac:dyDescent="0.25">
      <c r="A10" s="171" t="s">
        <v>28</v>
      </c>
      <c r="B10" s="172"/>
      <c r="C10" s="172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82"/>
    </row>
    <row r="11" spans="1:32" s="90" customFormat="1" ht="7.5" customHeight="1" x14ac:dyDescent="0.25">
      <c r="A11" s="104"/>
      <c r="B11" s="105"/>
      <c r="C11" s="105"/>
      <c r="D11" s="105"/>
      <c r="E11" s="105"/>
      <c r="F11" s="105"/>
      <c r="G11" s="105"/>
      <c r="H11" s="88"/>
      <c r="I11" s="88"/>
      <c r="J11" s="88"/>
      <c r="K11" s="106"/>
      <c r="L11" s="106"/>
      <c r="M11" s="106"/>
      <c r="N11" s="107"/>
      <c r="O11" s="107"/>
      <c r="P11" s="107"/>
      <c r="Q11" s="107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9"/>
    </row>
    <row r="12" spans="1:32" ht="25.5" customHeight="1" x14ac:dyDescent="0.25">
      <c r="A12" s="91"/>
      <c r="B12" s="140" t="s">
        <v>218</v>
      </c>
      <c r="C12" s="140"/>
      <c r="D12" s="140"/>
      <c r="E12" s="140"/>
      <c r="F12" s="140"/>
      <c r="G12" s="141"/>
      <c r="H12" s="142"/>
      <c r="I12" s="143"/>
      <c r="J12" s="143"/>
      <c r="K12" s="143"/>
      <c r="L12" s="144"/>
      <c r="M12" s="139" t="s">
        <v>17</v>
      </c>
      <c r="N12" s="139"/>
      <c r="O12" s="139"/>
      <c r="P12" s="155"/>
      <c r="Q12" s="156"/>
      <c r="R12" s="156"/>
      <c r="S12" s="156"/>
      <c r="T12" s="157"/>
      <c r="U12" s="187" t="s">
        <v>219</v>
      </c>
      <c r="V12" s="188"/>
      <c r="W12" s="188"/>
      <c r="X12" s="189"/>
      <c r="Y12" s="145"/>
      <c r="Z12" s="146"/>
      <c r="AA12" s="146"/>
      <c r="AB12" s="146"/>
      <c r="AC12" s="146"/>
      <c r="AD12" s="147"/>
      <c r="AE12" s="108"/>
    </row>
    <row r="13" spans="1:32" ht="5.0999999999999996" customHeight="1" x14ac:dyDescent="0.25">
      <c r="A13" s="91"/>
      <c r="B13" s="109"/>
      <c r="C13" s="109"/>
      <c r="D13" s="109"/>
      <c r="E13" s="109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1"/>
      <c r="T13" s="111"/>
      <c r="U13" s="111"/>
      <c r="V13" s="111"/>
      <c r="W13" s="111"/>
      <c r="X13" s="112"/>
      <c r="Y13" s="110"/>
      <c r="Z13" s="110"/>
      <c r="AA13" s="110"/>
      <c r="AB13" s="110"/>
      <c r="AC13" s="110"/>
      <c r="AD13" s="110"/>
      <c r="AE13" s="113"/>
    </row>
    <row r="14" spans="1:32" ht="28.8" customHeight="1" x14ac:dyDescent="0.25">
      <c r="A14" s="91"/>
      <c r="B14" s="148" t="s">
        <v>29</v>
      </c>
      <c r="C14" s="148"/>
      <c r="D14" s="148"/>
      <c r="E14" s="148"/>
      <c r="F14" s="148"/>
      <c r="G14" s="149"/>
      <c r="H14" s="145"/>
      <c r="I14" s="146"/>
      <c r="J14" s="146"/>
      <c r="K14" s="146"/>
      <c r="L14" s="147"/>
      <c r="M14" s="110"/>
      <c r="N14" s="110"/>
      <c r="O14" s="114" t="s">
        <v>30</v>
      </c>
      <c r="P14" s="137"/>
      <c r="Q14" s="137"/>
      <c r="R14" s="115" t="s">
        <v>31</v>
      </c>
      <c r="S14" s="138"/>
      <c r="T14" s="138"/>
      <c r="U14" s="116"/>
      <c r="V14" s="139" t="s">
        <v>19</v>
      </c>
      <c r="W14" s="139"/>
      <c r="X14" s="139"/>
      <c r="Y14" s="161"/>
      <c r="Z14" s="162"/>
      <c r="AA14" s="162"/>
      <c r="AB14" s="162"/>
      <c r="AC14" s="162"/>
      <c r="AD14" s="163"/>
      <c r="AE14" s="117"/>
      <c r="AF14" s="118"/>
    </row>
    <row r="15" spans="1:32" ht="5.0999999999999996" customHeight="1" x14ac:dyDescent="0.25">
      <c r="A15" s="91"/>
      <c r="B15" s="109"/>
      <c r="C15" s="109"/>
      <c r="D15" s="109"/>
      <c r="E15" s="10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1"/>
      <c r="T15" s="111"/>
      <c r="U15" s="111"/>
      <c r="V15" s="111"/>
      <c r="W15" s="111"/>
      <c r="X15" s="110"/>
      <c r="Y15" s="119"/>
      <c r="Z15" s="119"/>
      <c r="AA15" s="119"/>
      <c r="AB15" s="119"/>
      <c r="AC15" s="119"/>
      <c r="AD15" s="119"/>
      <c r="AE15" s="120"/>
    </row>
    <row r="16" spans="1:32" ht="49.2" customHeight="1" x14ac:dyDescent="0.25">
      <c r="A16" s="91"/>
      <c r="B16" s="148" t="s">
        <v>18</v>
      </c>
      <c r="C16" s="148"/>
      <c r="D16" s="148"/>
      <c r="E16" s="148"/>
      <c r="F16" s="148"/>
      <c r="G16" s="148"/>
      <c r="H16" s="155"/>
      <c r="I16" s="156"/>
      <c r="J16" s="156"/>
      <c r="K16" s="156"/>
      <c r="L16" s="157"/>
      <c r="M16" s="134" t="s">
        <v>3</v>
      </c>
      <c r="N16" s="135"/>
      <c r="O16" s="136"/>
      <c r="P16" s="121"/>
      <c r="Q16" s="121"/>
      <c r="R16" s="121"/>
      <c r="S16" s="139" t="s">
        <v>33</v>
      </c>
      <c r="T16" s="139"/>
      <c r="U16" s="139"/>
      <c r="V16" s="139"/>
      <c r="W16" s="139"/>
      <c r="X16" s="139"/>
      <c r="Y16" s="152"/>
      <c r="Z16" s="153"/>
      <c r="AA16" s="153"/>
      <c r="AB16" s="154"/>
      <c r="AC16" s="134" t="s">
        <v>3</v>
      </c>
      <c r="AD16" s="136"/>
      <c r="AE16" s="122"/>
    </row>
    <row r="17" spans="1:31" ht="5.0999999999999996" customHeight="1" x14ac:dyDescent="0.25">
      <c r="A17" s="91"/>
      <c r="B17" s="109"/>
      <c r="C17" s="109"/>
      <c r="D17" s="109"/>
      <c r="E17" s="109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1"/>
      <c r="T17" s="111"/>
      <c r="U17" s="111"/>
      <c r="V17" s="111"/>
      <c r="W17" s="111"/>
      <c r="X17" s="110"/>
      <c r="Y17" s="110"/>
      <c r="Z17" s="110"/>
      <c r="AA17" s="110"/>
      <c r="AB17" s="110"/>
      <c r="AC17" s="110"/>
      <c r="AD17" s="110"/>
      <c r="AE17" s="113"/>
    </row>
    <row r="18" spans="1:31" ht="25.5" customHeight="1" x14ac:dyDescent="0.25">
      <c r="A18" s="91"/>
      <c r="B18" s="148" t="s">
        <v>34</v>
      </c>
      <c r="C18" s="148"/>
      <c r="D18" s="148"/>
      <c r="E18" s="148"/>
      <c r="F18" s="148"/>
      <c r="G18" s="148"/>
      <c r="H18" s="155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7"/>
      <c r="AE18" s="123"/>
    </row>
    <row r="19" spans="1:31" ht="7.5" customHeight="1" x14ac:dyDescent="0.25">
      <c r="A19" s="96"/>
      <c r="B19" s="124"/>
      <c r="C19" s="124"/>
      <c r="D19" s="124"/>
      <c r="E19" s="124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6"/>
    </row>
    <row r="20" spans="1:31" x14ac:dyDescent="0.25">
      <c r="B20" s="118"/>
      <c r="C20" s="118"/>
      <c r="D20" s="127"/>
      <c r="E20" s="127"/>
      <c r="F20" s="150"/>
      <c r="G20" s="150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</row>
    <row r="21" spans="1:31" ht="12.75" customHeight="1" x14ac:dyDescent="0.25">
      <c r="A21" s="171" t="s">
        <v>36</v>
      </c>
      <c r="B21" s="172"/>
      <c r="C21" s="172"/>
      <c r="D21" s="172"/>
      <c r="E21" s="172"/>
      <c r="F21" s="172"/>
      <c r="G21" s="172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129"/>
    </row>
    <row r="22" spans="1:31" ht="3.75" customHeight="1" x14ac:dyDescent="0.25">
      <c r="A22" s="166"/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8"/>
    </row>
    <row r="23" spans="1:31" ht="52.8" x14ac:dyDescent="0.25">
      <c r="A23" s="158" t="s">
        <v>4</v>
      </c>
      <c r="B23" s="160"/>
      <c r="C23" s="130" t="s">
        <v>11</v>
      </c>
      <c r="D23" s="158" t="s">
        <v>12</v>
      </c>
      <c r="E23" s="159"/>
      <c r="F23" s="159"/>
      <c r="G23" s="159"/>
      <c r="H23" s="159"/>
      <c r="I23" s="160"/>
      <c r="J23" s="158" t="s">
        <v>13</v>
      </c>
      <c r="K23" s="159"/>
      <c r="L23" s="159"/>
      <c r="M23" s="159"/>
      <c r="N23" s="159"/>
      <c r="O23" s="158" t="s">
        <v>35</v>
      </c>
      <c r="P23" s="159"/>
      <c r="Q23" s="160"/>
      <c r="R23" s="130" t="s">
        <v>5</v>
      </c>
      <c r="S23" s="158" t="s">
        <v>14</v>
      </c>
      <c r="T23" s="159"/>
      <c r="U23" s="159"/>
      <c r="V23" s="159"/>
      <c r="W23" s="160"/>
      <c r="X23" s="130" t="s">
        <v>15</v>
      </c>
      <c r="Y23" s="130" t="s">
        <v>6</v>
      </c>
      <c r="Z23" s="158" t="s">
        <v>16</v>
      </c>
      <c r="AA23" s="159"/>
      <c r="AB23" s="159"/>
      <c r="AC23" s="160"/>
      <c r="AD23" s="158" t="s">
        <v>37</v>
      </c>
      <c r="AE23" s="160"/>
    </row>
    <row r="24" spans="1:31" ht="145.80000000000001" customHeight="1" x14ac:dyDescent="0.25">
      <c r="A24" s="169">
        <v>1</v>
      </c>
      <c r="B24" s="169"/>
      <c r="C24" s="131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69"/>
      <c r="P24" s="169"/>
      <c r="Q24" s="169"/>
      <c r="R24" s="132" t="s">
        <v>45</v>
      </c>
      <c r="S24" s="170"/>
      <c r="T24" s="170"/>
      <c r="U24" s="170"/>
      <c r="V24" s="170"/>
      <c r="W24" s="170"/>
      <c r="X24" s="131"/>
      <c r="Y24" s="131"/>
      <c r="Z24" s="170"/>
      <c r="AA24" s="170"/>
      <c r="AB24" s="170"/>
      <c r="AC24" s="170"/>
      <c r="AD24" s="169"/>
      <c r="AE24" s="169"/>
    </row>
    <row r="25" spans="1:31" ht="145.80000000000001" customHeight="1" x14ac:dyDescent="0.25">
      <c r="A25" s="169">
        <v>2</v>
      </c>
      <c r="B25" s="169"/>
      <c r="C25" s="131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69"/>
      <c r="P25" s="169"/>
      <c r="Q25" s="169"/>
      <c r="R25" s="132" t="s">
        <v>45</v>
      </c>
      <c r="S25" s="170"/>
      <c r="T25" s="170"/>
      <c r="U25" s="170"/>
      <c r="V25" s="170"/>
      <c r="W25" s="170"/>
      <c r="X25" s="131"/>
      <c r="Y25" s="131"/>
      <c r="Z25" s="170"/>
      <c r="AA25" s="170"/>
      <c r="AB25" s="170"/>
      <c r="AC25" s="170"/>
      <c r="AD25" s="169"/>
      <c r="AE25" s="169"/>
    </row>
    <row r="26" spans="1:31" ht="145.80000000000001" customHeight="1" x14ac:dyDescent="0.25">
      <c r="A26" s="169">
        <v>3</v>
      </c>
      <c r="B26" s="169"/>
      <c r="C26" s="131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69"/>
      <c r="P26" s="169"/>
      <c r="Q26" s="169"/>
      <c r="R26" s="132" t="s">
        <v>45</v>
      </c>
      <c r="S26" s="170"/>
      <c r="T26" s="170"/>
      <c r="U26" s="170"/>
      <c r="V26" s="170"/>
      <c r="W26" s="170"/>
      <c r="X26" s="131"/>
      <c r="Y26" s="131"/>
      <c r="Z26" s="170"/>
      <c r="AA26" s="170"/>
      <c r="AB26" s="170"/>
      <c r="AC26" s="170"/>
      <c r="AD26" s="169"/>
      <c r="AE26" s="169"/>
    </row>
    <row r="27" spans="1:31" ht="145.80000000000001" customHeight="1" x14ac:dyDescent="0.25">
      <c r="A27" s="169">
        <v>4</v>
      </c>
      <c r="B27" s="169"/>
      <c r="C27" s="131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69"/>
      <c r="P27" s="169"/>
      <c r="Q27" s="169"/>
      <c r="R27" s="132" t="s">
        <v>45</v>
      </c>
      <c r="S27" s="170"/>
      <c r="T27" s="170"/>
      <c r="U27" s="170"/>
      <c r="V27" s="170"/>
      <c r="W27" s="170"/>
      <c r="X27" s="131"/>
      <c r="Y27" s="131"/>
      <c r="Z27" s="170"/>
      <c r="AA27" s="170"/>
      <c r="AB27" s="170"/>
      <c r="AC27" s="170"/>
      <c r="AD27" s="169"/>
      <c r="AE27" s="169"/>
    </row>
    <row r="28" spans="1:31" ht="145.80000000000001" customHeight="1" x14ac:dyDescent="0.25">
      <c r="A28" s="169">
        <v>5</v>
      </c>
      <c r="B28" s="169"/>
      <c r="C28" s="131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69"/>
      <c r="P28" s="169"/>
      <c r="Q28" s="169"/>
      <c r="R28" s="132" t="s">
        <v>45</v>
      </c>
      <c r="S28" s="170"/>
      <c r="T28" s="170"/>
      <c r="U28" s="170"/>
      <c r="V28" s="170"/>
      <c r="W28" s="170"/>
      <c r="X28" s="131"/>
      <c r="Y28" s="131"/>
      <c r="Z28" s="170"/>
      <c r="AA28" s="170"/>
      <c r="AB28" s="170"/>
      <c r="AC28" s="170"/>
      <c r="AD28" s="169"/>
      <c r="AE28" s="169"/>
    </row>
  </sheetData>
  <sheetProtection selectLockedCells="1"/>
  <mergeCells count="85">
    <mergeCell ref="A28:B28"/>
    <mergeCell ref="D28:I28"/>
    <mergeCell ref="J28:N28"/>
    <mergeCell ref="O28:Q28"/>
    <mergeCell ref="S28:W28"/>
    <mergeCell ref="O27:Q27"/>
    <mergeCell ref="S27:W27"/>
    <mergeCell ref="Z27:AC27"/>
    <mergeCell ref="AD27:AE27"/>
    <mergeCell ref="Z28:AC28"/>
    <mergeCell ref="AD28:AE28"/>
    <mergeCell ref="Z26:AC26"/>
    <mergeCell ref="AD26:AE26"/>
    <mergeCell ref="A26:B26"/>
    <mergeCell ref="D26:I26"/>
    <mergeCell ref="J26:N26"/>
    <mergeCell ref="O26:Q26"/>
    <mergeCell ref="S26:W26"/>
    <mergeCell ref="A27:B27"/>
    <mergeCell ref="D27:I27"/>
    <mergeCell ref="A25:B25"/>
    <mergeCell ref="D25:I25"/>
    <mergeCell ref="J25:N25"/>
    <mergeCell ref="J27:N27"/>
    <mergeCell ref="S25:W25"/>
    <mergeCell ref="Z25:AC25"/>
    <mergeCell ref="AD25:AE25"/>
    <mergeCell ref="S24:W24"/>
    <mergeCell ref="Z24:AC24"/>
    <mergeCell ref="AD24:AE24"/>
    <mergeCell ref="O25:Q25"/>
    <mergeCell ref="P2:Q2"/>
    <mergeCell ref="U12:X12"/>
    <mergeCell ref="Y3:AA3"/>
    <mergeCell ref="W3:X3"/>
    <mergeCell ref="X2:AA2"/>
    <mergeCell ref="Y7:AD7"/>
    <mergeCell ref="R7:V7"/>
    <mergeCell ref="O7:Q7"/>
    <mergeCell ref="AB1:AE3"/>
    <mergeCell ref="H1:AA1"/>
    <mergeCell ref="I2:O2"/>
    <mergeCell ref="I3:O3"/>
    <mergeCell ref="P3:Q3"/>
    <mergeCell ref="L7:N7"/>
    <mergeCell ref="H7:J7"/>
    <mergeCell ref="R3:V3"/>
    <mergeCell ref="A22:AE22"/>
    <mergeCell ref="A24:B24"/>
    <mergeCell ref="D24:I24"/>
    <mergeCell ref="J24:N24"/>
    <mergeCell ref="O24:Q24"/>
    <mergeCell ref="D23:I23"/>
    <mergeCell ref="A21:G21"/>
    <mergeCell ref="A1:G3"/>
    <mergeCell ref="A5:AE5"/>
    <mergeCell ref="A10:AE10"/>
    <mergeCell ref="A23:B23"/>
    <mergeCell ref="H18:AD18"/>
    <mergeCell ref="Z23:AC23"/>
    <mergeCell ref="AD23:AE23"/>
    <mergeCell ref="R2:V2"/>
    <mergeCell ref="J23:N23"/>
    <mergeCell ref="O23:Q23"/>
    <mergeCell ref="Y12:AD12"/>
    <mergeCell ref="Y14:AD14"/>
    <mergeCell ref="S23:W23"/>
    <mergeCell ref="M12:O12"/>
    <mergeCell ref="P12:T12"/>
    <mergeCell ref="B18:G18"/>
    <mergeCell ref="B16:G16"/>
    <mergeCell ref="F20:AE20"/>
    <mergeCell ref="S16:X16"/>
    <mergeCell ref="Y16:AB16"/>
    <mergeCell ref="H16:L16"/>
    <mergeCell ref="B7:G7"/>
    <mergeCell ref="M16:O16"/>
    <mergeCell ref="AC16:AD16"/>
    <mergeCell ref="P14:Q14"/>
    <mergeCell ref="S14:T14"/>
    <mergeCell ref="V14:X14"/>
    <mergeCell ref="B12:G12"/>
    <mergeCell ref="H12:L12"/>
    <mergeCell ref="H14:L14"/>
    <mergeCell ref="B14:G14"/>
  </mergeCells>
  <printOptions horizontalCentered="1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Datos!$B$1:$C$1</xm:f>
          </x14:formula1>
          <xm:sqref>C24:C28</xm:sqref>
        </x14:dataValidation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00000000-0002-0000-0000-000002000000}">
          <x14:formula1>
            <xm:f>Datos!$B$5:$G$5</xm:f>
          </x14:formula1>
          <xm:sqref>R24:R28</xm:sqref>
        </x14:dataValidation>
        <x14:dataValidation type="list" allowBlank="1" showInputMessage="1" showErrorMessage="1" xr:uid="{00000000-0002-0000-0000-000003000000}">
          <x14:formula1>
            <xm:f>Datos!$A$8:$CA$8</xm:f>
          </x14:formula1>
          <xm:sqref>O24:Q28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A2" workbookViewId="0">
      <selection activeCell="B8" sqref="B8"/>
    </sheetView>
  </sheetViews>
  <sheetFormatPr baseColWidth="10" defaultRowHeight="14.4" x14ac:dyDescent="0.3"/>
  <cols>
    <col min="1" max="2" width="44.5546875" customWidth="1"/>
    <col min="3" max="3" width="5.5546875" customWidth="1"/>
    <col min="4" max="5" width="44.5546875" customWidth="1"/>
  </cols>
  <sheetData>
    <row r="1" spans="1:5" x14ac:dyDescent="0.3">
      <c r="A1" s="219" t="s">
        <v>122</v>
      </c>
      <c r="B1" s="220"/>
      <c r="D1" s="219" t="s">
        <v>123</v>
      </c>
      <c r="E1" s="220"/>
    </row>
    <row r="2" spans="1:5" s="4" customFormat="1" ht="26.4" x14ac:dyDescent="0.3">
      <c r="A2" s="5" t="s">
        <v>120</v>
      </c>
      <c r="B2" s="5" t="s">
        <v>121</v>
      </c>
      <c r="D2" s="5" t="s">
        <v>124</v>
      </c>
      <c r="E2" s="5" t="s">
        <v>125</v>
      </c>
    </row>
    <row r="3" spans="1:5" x14ac:dyDescent="0.3">
      <c r="A3" s="6" t="s">
        <v>47</v>
      </c>
      <c r="B3" s="6" t="s">
        <v>63</v>
      </c>
      <c r="D3" s="7" t="s">
        <v>84</v>
      </c>
      <c r="E3" s="6" t="s">
        <v>119</v>
      </c>
    </row>
    <row r="4" spans="1:5" x14ac:dyDescent="0.3">
      <c r="A4" s="6" t="s">
        <v>48</v>
      </c>
      <c r="B4" s="6" t="s">
        <v>64</v>
      </c>
      <c r="D4" s="7" t="s">
        <v>85</v>
      </c>
      <c r="E4" s="6" t="s">
        <v>118</v>
      </c>
    </row>
    <row r="5" spans="1:5" x14ac:dyDescent="0.3">
      <c r="A5" s="6" t="s">
        <v>49</v>
      </c>
      <c r="B5" s="6" t="s">
        <v>65</v>
      </c>
      <c r="D5" s="7" t="s">
        <v>86</v>
      </c>
      <c r="E5" s="6" t="s">
        <v>117</v>
      </c>
    </row>
    <row r="6" spans="1:5" x14ac:dyDescent="0.3">
      <c r="A6" s="6" t="s">
        <v>50</v>
      </c>
      <c r="B6" s="6" t="s">
        <v>66</v>
      </c>
      <c r="D6" s="7" t="s">
        <v>87</v>
      </c>
      <c r="E6" s="6" t="s">
        <v>116</v>
      </c>
    </row>
    <row r="7" spans="1:5" ht="20.399999999999999" x14ac:dyDescent="0.3">
      <c r="A7" s="6" t="s">
        <v>51</v>
      </c>
      <c r="B7" s="6" t="s">
        <v>67</v>
      </c>
      <c r="D7" s="7" t="s">
        <v>88</v>
      </c>
      <c r="E7" s="6" t="s">
        <v>102</v>
      </c>
    </row>
    <row r="8" spans="1:5" ht="20.399999999999999" x14ac:dyDescent="0.3">
      <c r="A8" s="6" t="s">
        <v>52</v>
      </c>
      <c r="B8" s="6" t="s">
        <v>68</v>
      </c>
      <c r="D8" s="7" t="s">
        <v>89</v>
      </c>
      <c r="E8" s="6" t="s">
        <v>115</v>
      </c>
    </row>
    <row r="9" spans="1:5" x14ac:dyDescent="0.3">
      <c r="A9" s="6" t="s">
        <v>53</v>
      </c>
      <c r="B9" s="6" t="s">
        <v>69</v>
      </c>
      <c r="D9" s="7" t="s">
        <v>90</v>
      </c>
      <c r="E9" s="6" t="s">
        <v>114</v>
      </c>
    </row>
    <row r="10" spans="1:5" ht="20.399999999999999" x14ac:dyDescent="0.3">
      <c r="A10" s="6" t="s">
        <v>54</v>
      </c>
      <c r="B10" s="6" t="s">
        <v>70</v>
      </c>
      <c r="D10" s="7" t="s">
        <v>91</v>
      </c>
      <c r="E10" s="6" t="s">
        <v>113</v>
      </c>
    </row>
    <row r="11" spans="1:5" x14ac:dyDescent="0.3">
      <c r="A11" s="6" t="s">
        <v>55</v>
      </c>
      <c r="B11" s="6" t="s">
        <v>71</v>
      </c>
      <c r="D11" s="7" t="s">
        <v>92</v>
      </c>
      <c r="E11" s="6" t="s">
        <v>112</v>
      </c>
    </row>
    <row r="12" spans="1:5" x14ac:dyDescent="0.3">
      <c r="A12" s="6" t="s">
        <v>56</v>
      </c>
      <c r="B12" s="6" t="s">
        <v>72</v>
      </c>
      <c r="D12" s="7" t="s">
        <v>93</v>
      </c>
      <c r="E12" s="6" t="s">
        <v>111</v>
      </c>
    </row>
    <row r="13" spans="1:5" ht="20.399999999999999" x14ac:dyDescent="0.3">
      <c r="A13" s="6" t="s">
        <v>57</v>
      </c>
      <c r="B13" s="6" t="s">
        <v>74</v>
      </c>
      <c r="D13" s="7" t="s">
        <v>94</v>
      </c>
      <c r="E13" s="6" t="s">
        <v>110</v>
      </c>
    </row>
    <row r="14" spans="1:5" x14ac:dyDescent="0.3">
      <c r="A14" s="6" t="s">
        <v>58</v>
      </c>
      <c r="B14" s="6" t="s">
        <v>73</v>
      </c>
      <c r="D14" s="7" t="s">
        <v>95</v>
      </c>
      <c r="E14" s="6" t="s">
        <v>109</v>
      </c>
    </row>
    <row r="15" spans="1:5" x14ac:dyDescent="0.3">
      <c r="A15" s="6" t="s">
        <v>59</v>
      </c>
      <c r="B15" s="6" t="s">
        <v>75</v>
      </c>
      <c r="D15" s="7" t="s">
        <v>96</v>
      </c>
      <c r="E15" s="6" t="s">
        <v>108</v>
      </c>
    </row>
    <row r="16" spans="1:5" x14ac:dyDescent="0.3">
      <c r="A16" s="6" t="s">
        <v>60</v>
      </c>
      <c r="B16" s="6" t="s">
        <v>76</v>
      </c>
      <c r="D16" s="7" t="s">
        <v>97</v>
      </c>
      <c r="E16" s="6" t="s">
        <v>107</v>
      </c>
    </row>
    <row r="17" spans="1:5" ht="20.399999999999999" x14ac:dyDescent="0.3">
      <c r="A17" s="6" t="s">
        <v>61</v>
      </c>
      <c r="B17" s="6" t="s">
        <v>77</v>
      </c>
      <c r="D17" s="7" t="s">
        <v>98</v>
      </c>
      <c r="E17" s="6" t="s">
        <v>106</v>
      </c>
    </row>
    <row r="18" spans="1:5" x14ac:dyDescent="0.3">
      <c r="A18" s="6" t="s">
        <v>62</v>
      </c>
      <c r="B18" s="6" t="s">
        <v>78</v>
      </c>
      <c r="D18" s="7" t="s">
        <v>99</v>
      </c>
      <c r="E18" s="6" t="s">
        <v>105</v>
      </c>
    </row>
    <row r="19" spans="1:5" x14ac:dyDescent="0.3">
      <c r="B19" s="6" t="s">
        <v>79</v>
      </c>
      <c r="D19" s="7" t="s">
        <v>100</v>
      </c>
      <c r="E19" s="6" t="s">
        <v>104</v>
      </c>
    </row>
    <row r="20" spans="1:5" x14ac:dyDescent="0.3">
      <c r="B20" s="6" t="s">
        <v>80</v>
      </c>
      <c r="D20" s="7" t="s">
        <v>101</v>
      </c>
      <c r="E20" s="6" t="s">
        <v>103</v>
      </c>
    </row>
    <row r="21" spans="1:5" x14ac:dyDescent="0.3">
      <c r="B21" s="6" t="s">
        <v>81</v>
      </c>
    </row>
    <row r="22" spans="1:5" x14ac:dyDescent="0.3">
      <c r="B22" s="6" t="s">
        <v>82</v>
      </c>
    </row>
    <row r="23" spans="1:5" x14ac:dyDescent="0.3">
      <c r="B23" s="6" t="s">
        <v>83</v>
      </c>
    </row>
  </sheetData>
  <sheetProtection password="D81E" sheet="1" objects="1" scenarios="1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baseColWidth="10" defaultColWidth="9.33203125" defaultRowHeight="13.2" x14ac:dyDescent="0.25"/>
  <cols>
    <col min="1" max="1" width="14.109375" style="34" customWidth="1"/>
    <col min="2" max="2" width="7.6640625" style="34" customWidth="1"/>
    <col min="3" max="3" width="52.109375" style="34" customWidth="1"/>
    <col min="4" max="4" width="73" style="34" customWidth="1"/>
    <col min="5" max="5" width="37.6640625" style="34" customWidth="1"/>
    <col min="6" max="6" width="15.44140625" style="34" hidden="1" customWidth="1"/>
    <col min="7" max="7" width="9.44140625" style="33" hidden="1" customWidth="1"/>
    <col min="8" max="8" width="15" style="33" hidden="1" customWidth="1"/>
    <col min="9" max="11" width="9.33203125" style="33" hidden="1" customWidth="1"/>
    <col min="12" max="12" width="20.6640625" style="33" hidden="1" customWidth="1"/>
    <col min="13" max="13" width="13.5546875" style="33" hidden="1" customWidth="1"/>
    <col min="14" max="14" width="21.5546875" style="33" hidden="1" customWidth="1"/>
    <col min="15" max="15" width="49.6640625" style="33" hidden="1" customWidth="1"/>
    <col min="16" max="16" width="9.33203125" style="33" hidden="1" customWidth="1"/>
    <col min="17" max="35" width="9.33203125" style="33" customWidth="1"/>
    <col min="36" max="256" width="9.33203125" style="33"/>
    <col min="257" max="257" width="14.109375" style="33" customWidth="1"/>
    <col min="258" max="258" width="7.6640625" style="33" customWidth="1"/>
    <col min="259" max="259" width="52.109375" style="33" customWidth="1"/>
    <col min="260" max="260" width="73" style="33" customWidth="1"/>
    <col min="261" max="261" width="37.6640625" style="33" customWidth="1"/>
    <col min="262" max="272" width="0" style="33" hidden="1" customWidth="1"/>
    <col min="273" max="291" width="9.33203125" style="33" customWidth="1"/>
    <col min="292" max="512" width="9.33203125" style="33"/>
    <col min="513" max="513" width="14.109375" style="33" customWidth="1"/>
    <col min="514" max="514" width="7.6640625" style="33" customWidth="1"/>
    <col min="515" max="515" width="52.109375" style="33" customWidth="1"/>
    <col min="516" max="516" width="73" style="33" customWidth="1"/>
    <col min="517" max="517" width="37.6640625" style="33" customWidth="1"/>
    <col min="518" max="528" width="0" style="33" hidden="1" customWidth="1"/>
    <col min="529" max="547" width="9.33203125" style="33" customWidth="1"/>
    <col min="548" max="768" width="9.33203125" style="33"/>
    <col min="769" max="769" width="14.109375" style="33" customWidth="1"/>
    <col min="770" max="770" width="7.6640625" style="33" customWidth="1"/>
    <col min="771" max="771" width="52.109375" style="33" customWidth="1"/>
    <col min="772" max="772" width="73" style="33" customWidth="1"/>
    <col min="773" max="773" width="37.6640625" style="33" customWidth="1"/>
    <col min="774" max="784" width="0" style="33" hidden="1" customWidth="1"/>
    <col min="785" max="803" width="9.33203125" style="33" customWidth="1"/>
    <col min="804" max="1024" width="9.33203125" style="33"/>
    <col min="1025" max="1025" width="14.109375" style="33" customWidth="1"/>
    <col min="1026" max="1026" width="7.6640625" style="33" customWidth="1"/>
    <col min="1027" max="1027" width="52.109375" style="33" customWidth="1"/>
    <col min="1028" max="1028" width="73" style="33" customWidth="1"/>
    <col min="1029" max="1029" width="37.6640625" style="33" customWidth="1"/>
    <col min="1030" max="1040" width="0" style="33" hidden="1" customWidth="1"/>
    <col min="1041" max="1059" width="9.33203125" style="33" customWidth="1"/>
    <col min="1060" max="1280" width="9.33203125" style="33"/>
    <col min="1281" max="1281" width="14.109375" style="33" customWidth="1"/>
    <col min="1282" max="1282" width="7.6640625" style="33" customWidth="1"/>
    <col min="1283" max="1283" width="52.109375" style="33" customWidth="1"/>
    <col min="1284" max="1284" width="73" style="33" customWidth="1"/>
    <col min="1285" max="1285" width="37.6640625" style="33" customWidth="1"/>
    <col min="1286" max="1296" width="0" style="33" hidden="1" customWidth="1"/>
    <col min="1297" max="1315" width="9.33203125" style="33" customWidth="1"/>
    <col min="1316" max="1536" width="9.33203125" style="33"/>
    <col min="1537" max="1537" width="14.109375" style="33" customWidth="1"/>
    <col min="1538" max="1538" width="7.6640625" style="33" customWidth="1"/>
    <col min="1539" max="1539" width="52.109375" style="33" customWidth="1"/>
    <col min="1540" max="1540" width="73" style="33" customWidth="1"/>
    <col min="1541" max="1541" width="37.6640625" style="33" customWidth="1"/>
    <col min="1542" max="1552" width="0" style="33" hidden="1" customWidth="1"/>
    <col min="1553" max="1571" width="9.33203125" style="33" customWidth="1"/>
    <col min="1572" max="1792" width="9.33203125" style="33"/>
    <col min="1793" max="1793" width="14.109375" style="33" customWidth="1"/>
    <col min="1794" max="1794" width="7.6640625" style="33" customWidth="1"/>
    <col min="1795" max="1795" width="52.109375" style="33" customWidth="1"/>
    <col min="1796" max="1796" width="73" style="33" customWidth="1"/>
    <col min="1797" max="1797" width="37.6640625" style="33" customWidth="1"/>
    <col min="1798" max="1808" width="0" style="33" hidden="1" customWidth="1"/>
    <col min="1809" max="1827" width="9.33203125" style="33" customWidth="1"/>
    <col min="1828" max="2048" width="9.33203125" style="33"/>
    <col min="2049" max="2049" width="14.109375" style="33" customWidth="1"/>
    <col min="2050" max="2050" width="7.6640625" style="33" customWidth="1"/>
    <col min="2051" max="2051" width="52.109375" style="33" customWidth="1"/>
    <col min="2052" max="2052" width="73" style="33" customWidth="1"/>
    <col min="2053" max="2053" width="37.6640625" style="33" customWidth="1"/>
    <col min="2054" max="2064" width="0" style="33" hidden="1" customWidth="1"/>
    <col min="2065" max="2083" width="9.33203125" style="33" customWidth="1"/>
    <col min="2084" max="2304" width="9.33203125" style="33"/>
    <col min="2305" max="2305" width="14.109375" style="33" customWidth="1"/>
    <col min="2306" max="2306" width="7.6640625" style="33" customWidth="1"/>
    <col min="2307" max="2307" width="52.109375" style="33" customWidth="1"/>
    <col min="2308" max="2308" width="73" style="33" customWidth="1"/>
    <col min="2309" max="2309" width="37.6640625" style="33" customWidth="1"/>
    <col min="2310" max="2320" width="0" style="33" hidden="1" customWidth="1"/>
    <col min="2321" max="2339" width="9.33203125" style="33" customWidth="1"/>
    <col min="2340" max="2560" width="9.33203125" style="33"/>
    <col min="2561" max="2561" width="14.109375" style="33" customWidth="1"/>
    <col min="2562" max="2562" width="7.6640625" style="33" customWidth="1"/>
    <col min="2563" max="2563" width="52.109375" style="33" customWidth="1"/>
    <col min="2564" max="2564" width="73" style="33" customWidth="1"/>
    <col min="2565" max="2565" width="37.6640625" style="33" customWidth="1"/>
    <col min="2566" max="2576" width="0" style="33" hidden="1" customWidth="1"/>
    <col min="2577" max="2595" width="9.33203125" style="33" customWidth="1"/>
    <col min="2596" max="2816" width="9.33203125" style="33"/>
    <col min="2817" max="2817" width="14.109375" style="33" customWidth="1"/>
    <col min="2818" max="2818" width="7.6640625" style="33" customWidth="1"/>
    <col min="2819" max="2819" width="52.109375" style="33" customWidth="1"/>
    <col min="2820" max="2820" width="73" style="33" customWidth="1"/>
    <col min="2821" max="2821" width="37.6640625" style="33" customWidth="1"/>
    <col min="2822" max="2832" width="0" style="33" hidden="1" customWidth="1"/>
    <col min="2833" max="2851" width="9.33203125" style="33" customWidth="1"/>
    <col min="2852" max="3072" width="9.33203125" style="33"/>
    <col min="3073" max="3073" width="14.109375" style="33" customWidth="1"/>
    <col min="3074" max="3074" width="7.6640625" style="33" customWidth="1"/>
    <col min="3075" max="3075" width="52.109375" style="33" customWidth="1"/>
    <col min="3076" max="3076" width="73" style="33" customWidth="1"/>
    <col min="3077" max="3077" width="37.6640625" style="33" customWidth="1"/>
    <col min="3078" max="3088" width="0" style="33" hidden="1" customWidth="1"/>
    <col min="3089" max="3107" width="9.33203125" style="33" customWidth="1"/>
    <col min="3108" max="3328" width="9.33203125" style="33"/>
    <col min="3329" max="3329" width="14.109375" style="33" customWidth="1"/>
    <col min="3330" max="3330" width="7.6640625" style="33" customWidth="1"/>
    <col min="3331" max="3331" width="52.109375" style="33" customWidth="1"/>
    <col min="3332" max="3332" width="73" style="33" customWidth="1"/>
    <col min="3333" max="3333" width="37.6640625" style="33" customWidth="1"/>
    <col min="3334" max="3344" width="0" style="33" hidden="1" customWidth="1"/>
    <col min="3345" max="3363" width="9.33203125" style="33" customWidth="1"/>
    <col min="3364" max="3584" width="9.33203125" style="33"/>
    <col min="3585" max="3585" width="14.109375" style="33" customWidth="1"/>
    <col min="3586" max="3586" width="7.6640625" style="33" customWidth="1"/>
    <col min="3587" max="3587" width="52.109375" style="33" customWidth="1"/>
    <col min="3588" max="3588" width="73" style="33" customWidth="1"/>
    <col min="3589" max="3589" width="37.6640625" style="33" customWidth="1"/>
    <col min="3590" max="3600" width="0" style="33" hidden="1" customWidth="1"/>
    <col min="3601" max="3619" width="9.33203125" style="33" customWidth="1"/>
    <col min="3620" max="3840" width="9.33203125" style="33"/>
    <col min="3841" max="3841" width="14.109375" style="33" customWidth="1"/>
    <col min="3842" max="3842" width="7.6640625" style="33" customWidth="1"/>
    <col min="3843" max="3843" width="52.109375" style="33" customWidth="1"/>
    <col min="3844" max="3844" width="73" style="33" customWidth="1"/>
    <col min="3845" max="3845" width="37.6640625" style="33" customWidth="1"/>
    <col min="3846" max="3856" width="0" style="33" hidden="1" customWidth="1"/>
    <col min="3857" max="3875" width="9.33203125" style="33" customWidth="1"/>
    <col min="3876" max="4096" width="9.33203125" style="33"/>
    <col min="4097" max="4097" width="14.109375" style="33" customWidth="1"/>
    <col min="4098" max="4098" width="7.6640625" style="33" customWidth="1"/>
    <col min="4099" max="4099" width="52.109375" style="33" customWidth="1"/>
    <col min="4100" max="4100" width="73" style="33" customWidth="1"/>
    <col min="4101" max="4101" width="37.6640625" style="33" customWidth="1"/>
    <col min="4102" max="4112" width="0" style="33" hidden="1" customWidth="1"/>
    <col min="4113" max="4131" width="9.33203125" style="33" customWidth="1"/>
    <col min="4132" max="4352" width="9.33203125" style="33"/>
    <col min="4353" max="4353" width="14.109375" style="33" customWidth="1"/>
    <col min="4354" max="4354" width="7.6640625" style="33" customWidth="1"/>
    <col min="4355" max="4355" width="52.109375" style="33" customWidth="1"/>
    <col min="4356" max="4356" width="73" style="33" customWidth="1"/>
    <col min="4357" max="4357" width="37.6640625" style="33" customWidth="1"/>
    <col min="4358" max="4368" width="0" style="33" hidden="1" customWidth="1"/>
    <col min="4369" max="4387" width="9.33203125" style="33" customWidth="1"/>
    <col min="4388" max="4608" width="9.33203125" style="33"/>
    <col min="4609" max="4609" width="14.109375" style="33" customWidth="1"/>
    <col min="4610" max="4610" width="7.6640625" style="33" customWidth="1"/>
    <col min="4611" max="4611" width="52.109375" style="33" customWidth="1"/>
    <col min="4612" max="4612" width="73" style="33" customWidth="1"/>
    <col min="4613" max="4613" width="37.6640625" style="33" customWidth="1"/>
    <col min="4614" max="4624" width="0" style="33" hidden="1" customWidth="1"/>
    <col min="4625" max="4643" width="9.33203125" style="33" customWidth="1"/>
    <col min="4644" max="4864" width="9.33203125" style="33"/>
    <col min="4865" max="4865" width="14.109375" style="33" customWidth="1"/>
    <col min="4866" max="4866" width="7.6640625" style="33" customWidth="1"/>
    <col min="4867" max="4867" width="52.109375" style="33" customWidth="1"/>
    <col min="4868" max="4868" width="73" style="33" customWidth="1"/>
    <col min="4869" max="4869" width="37.6640625" style="33" customWidth="1"/>
    <col min="4870" max="4880" width="0" style="33" hidden="1" customWidth="1"/>
    <col min="4881" max="4899" width="9.33203125" style="33" customWidth="1"/>
    <col min="4900" max="5120" width="9.33203125" style="33"/>
    <col min="5121" max="5121" width="14.109375" style="33" customWidth="1"/>
    <col min="5122" max="5122" width="7.6640625" style="33" customWidth="1"/>
    <col min="5123" max="5123" width="52.109375" style="33" customWidth="1"/>
    <col min="5124" max="5124" width="73" style="33" customWidth="1"/>
    <col min="5125" max="5125" width="37.6640625" style="33" customWidth="1"/>
    <col min="5126" max="5136" width="0" style="33" hidden="1" customWidth="1"/>
    <col min="5137" max="5155" width="9.33203125" style="33" customWidth="1"/>
    <col min="5156" max="5376" width="9.33203125" style="33"/>
    <col min="5377" max="5377" width="14.109375" style="33" customWidth="1"/>
    <col min="5378" max="5378" width="7.6640625" style="33" customWidth="1"/>
    <col min="5379" max="5379" width="52.109375" style="33" customWidth="1"/>
    <col min="5380" max="5380" width="73" style="33" customWidth="1"/>
    <col min="5381" max="5381" width="37.6640625" style="33" customWidth="1"/>
    <col min="5382" max="5392" width="0" style="33" hidden="1" customWidth="1"/>
    <col min="5393" max="5411" width="9.33203125" style="33" customWidth="1"/>
    <col min="5412" max="5632" width="9.33203125" style="33"/>
    <col min="5633" max="5633" width="14.109375" style="33" customWidth="1"/>
    <col min="5634" max="5634" width="7.6640625" style="33" customWidth="1"/>
    <col min="5635" max="5635" width="52.109375" style="33" customWidth="1"/>
    <col min="5636" max="5636" width="73" style="33" customWidth="1"/>
    <col min="5637" max="5637" width="37.6640625" style="33" customWidth="1"/>
    <col min="5638" max="5648" width="0" style="33" hidden="1" customWidth="1"/>
    <col min="5649" max="5667" width="9.33203125" style="33" customWidth="1"/>
    <col min="5668" max="5888" width="9.33203125" style="33"/>
    <col min="5889" max="5889" width="14.109375" style="33" customWidth="1"/>
    <col min="5890" max="5890" width="7.6640625" style="33" customWidth="1"/>
    <col min="5891" max="5891" width="52.109375" style="33" customWidth="1"/>
    <col min="5892" max="5892" width="73" style="33" customWidth="1"/>
    <col min="5893" max="5893" width="37.6640625" style="33" customWidth="1"/>
    <col min="5894" max="5904" width="0" style="33" hidden="1" customWidth="1"/>
    <col min="5905" max="5923" width="9.33203125" style="33" customWidth="1"/>
    <col min="5924" max="6144" width="9.33203125" style="33"/>
    <col min="6145" max="6145" width="14.109375" style="33" customWidth="1"/>
    <col min="6146" max="6146" width="7.6640625" style="33" customWidth="1"/>
    <col min="6147" max="6147" width="52.109375" style="33" customWidth="1"/>
    <col min="6148" max="6148" width="73" style="33" customWidth="1"/>
    <col min="6149" max="6149" width="37.6640625" style="33" customWidth="1"/>
    <col min="6150" max="6160" width="0" style="33" hidden="1" customWidth="1"/>
    <col min="6161" max="6179" width="9.33203125" style="33" customWidth="1"/>
    <col min="6180" max="6400" width="9.33203125" style="33"/>
    <col min="6401" max="6401" width="14.109375" style="33" customWidth="1"/>
    <col min="6402" max="6402" width="7.6640625" style="33" customWidth="1"/>
    <col min="6403" max="6403" width="52.109375" style="33" customWidth="1"/>
    <col min="6404" max="6404" width="73" style="33" customWidth="1"/>
    <col min="6405" max="6405" width="37.6640625" style="33" customWidth="1"/>
    <col min="6406" max="6416" width="0" style="33" hidden="1" customWidth="1"/>
    <col min="6417" max="6435" width="9.33203125" style="33" customWidth="1"/>
    <col min="6436" max="6656" width="9.33203125" style="33"/>
    <col min="6657" max="6657" width="14.109375" style="33" customWidth="1"/>
    <col min="6658" max="6658" width="7.6640625" style="33" customWidth="1"/>
    <col min="6659" max="6659" width="52.109375" style="33" customWidth="1"/>
    <col min="6660" max="6660" width="73" style="33" customWidth="1"/>
    <col min="6661" max="6661" width="37.6640625" style="33" customWidth="1"/>
    <col min="6662" max="6672" width="0" style="33" hidden="1" customWidth="1"/>
    <col min="6673" max="6691" width="9.33203125" style="33" customWidth="1"/>
    <col min="6692" max="6912" width="9.33203125" style="33"/>
    <col min="6913" max="6913" width="14.109375" style="33" customWidth="1"/>
    <col min="6914" max="6914" width="7.6640625" style="33" customWidth="1"/>
    <col min="6915" max="6915" width="52.109375" style="33" customWidth="1"/>
    <col min="6916" max="6916" width="73" style="33" customWidth="1"/>
    <col min="6917" max="6917" width="37.6640625" style="33" customWidth="1"/>
    <col min="6918" max="6928" width="0" style="33" hidden="1" customWidth="1"/>
    <col min="6929" max="6947" width="9.33203125" style="33" customWidth="1"/>
    <col min="6948" max="7168" width="9.33203125" style="33"/>
    <col min="7169" max="7169" width="14.109375" style="33" customWidth="1"/>
    <col min="7170" max="7170" width="7.6640625" style="33" customWidth="1"/>
    <col min="7171" max="7171" width="52.109375" style="33" customWidth="1"/>
    <col min="7172" max="7172" width="73" style="33" customWidth="1"/>
    <col min="7173" max="7173" width="37.6640625" style="33" customWidth="1"/>
    <col min="7174" max="7184" width="0" style="33" hidden="1" customWidth="1"/>
    <col min="7185" max="7203" width="9.33203125" style="33" customWidth="1"/>
    <col min="7204" max="7424" width="9.33203125" style="33"/>
    <col min="7425" max="7425" width="14.109375" style="33" customWidth="1"/>
    <col min="7426" max="7426" width="7.6640625" style="33" customWidth="1"/>
    <col min="7427" max="7427" width="52.109375" style="33" customWidth="1"/>
    <col min="7428" max="7428" width="73" style="33" customWidth="1"/>
    <col min="7429" max="7429" width="37.6640625" style="33" customWidth="1"/>
    <col min="7430" max="7440" width="0" style="33" hidden="1" customWidth="1"/>
    <col min="7441" max="7459" width="9.33203125" style="33" customWidth="1"/>
    <col min="7460" max="7680" width="9.33203125" style="33"/>
    <col min="7681" max="7681" width="14.109375" style="33" customWidth="1"/>
    <col min="7682" max="7682" width="7.6640625" style="33" customWidth="1"/>
    <col min="7683" max="7683" width="52.109375" style="33" customWidth="1"/>
    <col min="7684" max="7684" width="73" style="33" customWidth="1"/>
    <col min="7685" max="7685" width="37.6640625" style="33" customWidth="1"/>
    <col min="7686" max="7696" width="0" style="33" hidden="1" customWidth="1"/>
    <col min="7697" max="7715" width="9.33203125" style="33" customWidth="1"/>
    <col min="7716" max="7936" width="9.33203125" style="33"/>
    <col min="7937" max="7937" width="14.109375" style="33" customWidth="1"/>
    <col min="7938" max="7938" width="7.6640625" style="33" customWidth="1"/>
    <col min="7939" max="7939" width="52.109375" style="33" customWidth="1"/>
    <col min="7940" max="7940" width="73" style="33" customWidth="1"/>
    <col min="7941" max="7941" width="37.6640625" style="33" customWidth="1"/>
    <col min="7942" max="7952" width="0" style="33" hidden="1" customWidth="1"/>
    <col min="7953" max="7971" width="9.33203125" style="33" customWidth="1"/>
    <col min="7972" max="8192" width="9.33203125" style="33"/>
    <col min="8193" max="8193" width="14.109375" style="33" customWidth="1"/>
    <col min="8194" max="8194" width="7.6640625" style="33" customWidth="1"/>
    <col min="8195" max="8195" width="52.109375" style="33" customWidth="1"/>
    <col min="8196" max="8196" width="73" style="33" customWidth="1"/>
    <col min="8197" max="8197" width="37.6640625" style="33" customWidth="1"/>
    <col min="8198" max="8208" width="0" style="33" hidden="1" customWidth="1"/>
    <col min="8209" max="8227" width="9.33203125" style="33" customWidth="1"/>
    <col min="8228" max="8448" width="9.33203125" style="33"/>
    <col min="8449" max="8449" width="14.109375" style="33" customWidth="1"/>
    <col min="8450" max="8450" width="7.6640625" style="33" customWidth="1"/>
    <col min="8451" max="8451" width="52.109375" style="33" customWidth="1"/>
    <col min="8452" max="8452" width="73" style="33" customWidth="1"/>
    <col min="8453" max="8453" width="37.6640625" style="33" customWidth="1"/>
    <col min="8454" max="8464" width="0" style="33" hidden="1" customWidth="1"/>
    <col min="8465" max="8483" width="9.33203125" style="33" customWidth="1"/>
    <col min="8484" max="8704" width="9.33203125" style="33"/>
    <col min="8705" max="8705" width="14.109375" style="33" customWidth="1"/>
    <col min="8706" max="8706" width="7.6640625" style="33" customWidth="1"/>
    <col min="8707" max="8707" width="52.109375" style="33" customWidth="1"/>
    <col min="8708" max="8708" width="73" style="33" customWidth="1"/>
    <col min="8709" max="8709" width="37.6640625" style="33" customWidth="1"/>
    <col min="8710" max="8720" width="0" style="33" hidden="1" customWidth="1"/>
    <col min="8721" max="8739" width="9.33203125" style="33" customWidth="1"/>
    <col min="8740" max="8960" width="9.33203125" style="33"/>
    <col min="8961" max="8961" width="14.109375" style="33" customWidth="1"/>
    <col min="8962" max="8962" width="7.6640625" style="33" customWidth="1"/>
    <col min="8963" max="8963" width="52.109375" style="33" customWidth="1"/>
    <col min="8964" max="8964" width="73" style="33" customWidth="1"/>
    <col min="8965" max="8965" width="37.6640625" style="33" customWidth="1"/>
    <col min="8966" max="8976" width="0" style="33" hidden="1" customWidth="1"/>
    <col min="8977" max="8995" width="9.33203125" style="33" customWidth="1"/>
    <col min="8996" max="9216" width="9.33203125" style="33"/>
    <col min="9217" max="9217" width="14.109375" style="33" customWidth="1"/>
    <col min="9218" max="9218" width="7.6640625" style="33" customWidth="1"/>
    <col min="9219" max="9219" width="52.109375" style="33" customWidth="1"/>
    <col min="9220" max="9220" width="73" style="33" customWidth="1"/>
    <col min="9221" max="9221" width="37.6640625" style="33" customWidth="1"/>
    <col min="9222" max="9232" width="0" style="33" hidden="1" customWidth="1"/>
    <col min="9233" max="9251" width="9.33203125" style="33" customWidth="1"/>
    <col min="9252" max="9472" width="9.33203125" style="33"/>
    <col min="9473" max="9473" width="14.109375" style="33" customWidth="1"/>
    <col min="9474" max="9474" width="7.6640625" style="33" customWidth="1"/>
    <col min="9475" max="9475" width="52.109375" style="33" customWidth="1"/>
    <col min="9476" max="9476" width="73" style="33" customWidth="1"/>
    <col min="9477" max="9477" width="37.6640625" style="33" customWidth="1"/>
    <col min="9478" max="9488" width="0" style="33" hidden="1" customWidth="1"/>
    <col min="9489" max="9507" width="9.33203125" style="33" customWidth="1"/>
    <col min="9508" max="9728" width="9.33203125" style="33"/>
    <col min="9729" max="9729" width="14.109375" style="33" customWidth="1"/>
    <col min="9730" max="9730" width="7.6640625" style="33" customWidth="1"/>
    <col min="9731" max="9731" width="52.109375" style="33" customWidth="1"/>
    <col min="9732" max="9732" width="73" style="33" customWidth="1"/>
    <col min="9733" max="9733" width="37.6640625" style="33" customWidth="1"/>
    <col min="9734" max="9744" width="0" style="33" hidden="1" customWidth="1"/>
    <col min="9745" max="9763" width="9.33203125" style="33" customWidth="1"/>
    <col min="9764" max="9984" width="9.33203125" style="33"/>
    <col min="9985" max="9985" width="14.109375" style="33" customWidth="1"/>
    <col min="9986" max="9986" width="7.6640625" style="33" customWidth="1"/>
    <col min="9987" max="9987" width="52.109375" style="33" customWidth="1"/>
    <col min="9988" max="9988" width="73" style="33" customWidth="1"/>
    <col min="9989" max="9989" width="37.6640625" style="33" customWidth="1"/>
    <col min="9990" max="10000" width="0" style="33" hidden="1" customWidth="1"/>
    <col min="10001" max="10019" width="9.33203125" style="33" customWidth="1"/>
    <col min="10020" max="10240" width="9.33203125" style="33"/>
    <col min="10241" max="10241" width="14.109375" style="33" customWidth="1"/>
    <col min="10242" max="10242" width="7.6640625" style="33" customWidth="1"/>
    <col min="10243" max="10243" width="52.109375" style="33" customWidth="1"/>
    <col min="10244" max="10244" width="73" style="33" customWidth="1"/>
    <col min="10245" max="10245" width="37.6640625" style="33" customWidth="1"/>
    <col min="10246" max="10256" width="0" style="33" hidden="1" customWidth="1"/>
    <col min="10257" max="10275" width="9.33203125" style="33" customWidth="1"/>
    <col min="10276" max="10496" width="9.33203125" style="33"/>
    <col min="10497" max="10497" width="14.109375" style="33" customWidth="1"/>
    <col min="10498" max="10498" width="7.6640625" style="33" customWidth="1"/>
    <col min="10499" max="10499" width="52.109375" style="33" customWidth="1"/>
    <col min="10500" max="10500" width="73" style="33" customWidth="1"/>
    <col min="10501" max="10501" width="37.6640625" style="33" customWidth="1"/>
    <col min="10502" max="10512" width="0" style="33" hidden="1" customWidth="1"/>
    <col min="10513" max="10531" width="9.33203125" style="33" customWidth="1"/>
    <col min="10532" max="10752" width="9.33203125" style="33"/>
    <col min="10753" max="10753" width="14.109375" style="33" customWidth="1"/>
    <col min="10754" max="10754" width="7.6640625" style="33" customWidth="1"/>
    <col min="10755" max="10755" width="52.109375" style="33" customWidth="1"/>
    <col min="10756" max="10756" width="73" style="33" customWidth="1"/>
    <col min="10757" max="10757" width="37.6640625" style="33" customWidth="1"/>
    <col min="10758" max="10768" width="0" style="33" hidden="1" customWidth="1"/>
    <col min="10769" max="10787" width="9.33203125" style="33" customWidth="1"/>
    <col min="10788" max="11008" width="9.33203125" style="33"/>
    <col min="11009" max="11009" width="14.109375" style="33" customWidth="1"/>
    <col min="11010" max="11010" width="7.6640625" style="33" customWidth="1"/>
    <col min="11011" max="11011" width="52.109375" style="33" customWidth="1"/>
    <col min="11012" max="11012" width="73" style="33" customWidth="1"/>
    <col min="11013" max="11013" width="37.6640625" style="33" customWidth="1"/>
    <col min="11014" max="11024" width="0" style="33" hidden="1" customWidth="1"/>
    <col min="11025" max="11043" width="9.33203125" style="33" customWidth="1"/>
    <col min="11044" max="11264" width="9.33203125" style="33"/>
    <col min="11265" max="11265" width="14.109375" style="33" customWidth="1"/>
    <col min="11266" max="11266" width="7.6640625" style="33" customWidth="1"/>
    <col min="11267" max="11267" width="52.109375" style="33" customWidth="1"/>
    <col min="11268" max="11268" width="73" style="33" customWidth="1"/>
    <col min="11269" max="11269" width="37.6640625" style="33" customWidth="1"/>
    <col min="11270" max="11280" width="0" style="33" hidden="1" customWidth="1"/>
    <col min="11281" max="11299" width="9.33203125" style="33" customWidth="1"/>
    <col min="11300" max="11520" width="9.33203125" style="33"/>
    <col min="11521" max="11521" width="14.109375" style="33" customWidth="1"/>
    <col min="11522" max="11522" width="7.6640625" style="33" customWidth="1"/>
    <col min="11523" max="11523" width="52.109375" style="33" customWidth="1"/>
    <col min="11524" max="11524" width="73" style="33" customWidth="1"/>
    <col min="11525" max="11525" width="37.6640625" style="33" customWidth="1"/>
    <col min="11526" max="11536" width="0" style="33" hidden="1" customWidth="1"/>
    <col min="11537" max="11555" width="9.33203125" style="33" customWidth="1"/>
    <col min="11556" max="11776" width="9.33203125" style="33"/>
    <col min="11777" max="11777" width="14.109375" style="33" customWidth="1"/>
    <col min="11778" max="11778" width="7.6640625" style="33" customWidth="1"/>
    <col min="11779" max="11779" width="52.109375" style="33" customWidth="1"/>
    <col min="11780" max="11780" width="73" style="33" customWidth="1"/>
    <col min="11781" max="11781" width="37.6640625" style="33" customWidth="1"/>
    <col min="11782" max="11792" width="0" style="33" hidden="1" customWidth="1"/>
    <col min="11793" max="11811" width="9.33203125" style="33" customWidth="1"/>
    <col min="11812" max="12032" width="9.33203125" style="33"/>
    <col min="12033" max="12033" width="14.109375" style="33" customWidth="1"/>
    <col min="12034" max="12034" width="7.6640625" style="33" customWidth="1"/>
    <col min="12035" max="12035" width="52.109375" style="33" customWidth="1"/>
    <col min="12036" max="12036" width="73" style="33" customWidth="1"/>
    <col min="12037" max="12037" width="37.6640625" style="33" customWidth="1"/>
    <col min="12038" max="12048" width="0" style="33" hidden="1" customWidth="1"/>
    <col min="12049" max="12067" width="9.33203125" style="33" customWidth="1"/>
    <col min="12068" max="12288" width="9.33203125" style="33"/>
    <col min="12289" max="12289" width="14.109375" style="33" customWidth="1"/>
    <col min="12290" max="12290" width="7.6640625" style="33" customWidth="1"/>
    <col min="12291" max="12291" width="52.109375" style="33" customWidth="1"/>
    <col min="12292" max="12292" width="73" style="33" customWidth="1"/>
    <col min="12293" max="12293" width="37.6640625" style="33" customWidth="1"/>
    <col min="12294" max="12304" width="0" style="33" hidden="1" customWidth="1"/>
    <col min="12305" max="12323" width="9.33203125" style="33" customWidth="1"/>
    <col min="12324" max="12544" width="9.33203125" style="33"/>
    <col min="12545" max="12545" width="14.109375" style="33" customWidth="1"/>
    <col min="12546" max="12546" width="7.6640625" style="33" customWidth="1"/>
    <col min="12547" max="12547" width="52.109375" style="33" customWidth="1"/>
    <col min="12548" max="12548" width="73" style="33" customWidth="1"/>
    <col min="12549" max="12549" width="37.6640625" style="33" customWidth="1"/>
    <col min="12550" max="12560" width="0" style="33" hidden="1" customWidth="1"/>
    <col min="12561" max="12579" width="9.33203125" style="33" customWidth="1"/>
    <col min="12580" max="12800" width="9.33203125" style="33"/>
    <col min="12801" max="12801" width="14.109375" style="33" customWidth="1"/>
    <col min="12802" max="12802" width="7.6640625" style="33" customWidth="1"/>
    <col min="12803" max="12803" width="52.109375" style="33" customWidth="1"/>
    <col min="12804" max="12804" width="73" style="33" customWidth="1"/>
    <col min="12805" max="12805" width="37.6640625" style="33" customWidth="1"/>
    <col min="12806" max="12816" width="0" style="33" hidden="1" customWidth="1"/>
    <col min="12817" max="12835" width="9.33203125" style="33" customWidth="1"/>
    <col min="12836" max="13056" width="9.33203125" style="33"/>
    <col min="13057" max="13057" width="14.109375" style="33" customWidth="1"/>
    <col min="13058" max="13058" width="7.6640625" style="33" customWidth="1"/>
    <col min="13059" max="13059" width="52.109375" style="33" customWidth="1"/>
    <col min="13060" max="13060" width="73" style="33" customWidth="1"/>
    <col min="13061" max="13061" width="37.6640625" style="33" customWidth="1"/>
    <col min="13062" max="13072" width="0" style="33" hidden="1" customWidth="1"/>
    <col min="13073" max="13091" width="9.33203125" style="33" customWidth="1"/>
    <col min="13092" max="13312" width="9.33203125" style="33"/>
    <col min="13313" max="13313" width="14.109375" style="33" customWidth="1"/>
    <col min="13314" max="13314" width="7.6640625" style="33" customWidth="1"/>
    <col min="13315" max="13315" width="52.109375" style="33" customWidth="1"/>
    <col min="13316" max="13316" width="73" style="33" customWidth="1"/>
    <col min="13317" max="13317" width="37.6640625" style="33" customWidth="1"/>
    <col min="13318" max="13328" width="0" style="33" hidden="1" customWidth="1"/>
    <col min="13329" max="13347" width="9.33203125" style="33" customWidth="1"/>
    <col min="13348" max="13568" width="9.33203125" style="33"/>
    <col min="13569" max="13569" width="14.109375" style="33" customWidth="1"/>
    <col min="13570" max="13570" width="7.6640625" style="33" customWidth="1"/>
    <col min="13571" max="13571" width="52.109375" style="33" customWidth="1"/>
    <col min="13572" max="13572" width="73" style="33" customWidth="1"/>
    <col min="13573" max="13573" width="37.6640625" style="33" customWidth="1"/>
    <col min="13574" max="13584" width="0" style="33" hidden="1" customWidth="1"/>
    <col min="13585" max="13603" width="9.33203125" style="33" customWidth="1"/>
    <col min="13604" max="13824" width="9.33203125" style="33"/>
    <col min="13825" max="13825" width="14.109375" style="33" customWidth="1"/>
    <col min="13826" max="13826" width="7.6640625" style="33" customWidth="1"/>
    <col min="13827" max="13827" width="52.109375" style="33" customWidth="1"/>
    <col min="13828" max="13828" width="73" style="33" customWidth="1"/>
    <col min="13829" max="13829" width="37.6640625" style="33" customWidth="1"/>
    <col min="13830" max="13840" width="0" style="33" hidden="1" customWidth="1"/>
    <col min="13841" max="13859" width="9.33203125" style="33" customWidth="1"/>
    <col min="13860" max="14080" width="9.33203125" style="33"/>
    <col min="14081" max="14081" width="14.109375" style="33" customWidth="1"/>
    <col min="14082" max="14082" width="7.6640625" style="33" customWidth="1"/>
    <col min="14083" max="14083" width="52.109375" style="33" customWidth="1"/>
    <col min="14084" max="14084" width="73" style="33" customWidth="1"/>
    <col min="14085" max="14085" width="37.6640625" style="33" customWidth="1"/>
    <col min="14086" max="14096" width="0" style="33" hidden="1" customWidth="1"/>
    <col min="14097" max="14115" width="9.33203125" style="33" customWidth="1"/>
    <col min="14116" max="14336" width="9.33203125" style="33"/>
    <col min="14337" max="14337" width="14.109375" style="33" customWidth="1"/>
    <col min="14338" max="14338" width="7.6640625" style="33" customWidth="1"/>
    <col min="14339" max="14339" width="52.109375" style="33" customWidth="1"/>
    <col min="14340" max="14340" width="73" style="33" customWidth="1"/>
    <col min="14341" max="14341" width="37.6640625" style="33" customWidth="1"/>
    <col min="14342" max="14352" width="0" style="33" hidden="1" customWidth="1"/>
    <col min="14353" max="14371" width="9.33203125" style="33" customWidth="1"/>
    <col min="14372" max="14592" width="9.33203125" style="33"/>
    <col min="14593" max="14593" width="14.109375" style="33" customWidth="1"/>
    <col min="14594" max="14594" width="7.6640625" style="33" customWidth="1"/>
    <col min="14595" max="14595" width="52.109375" style="33" customWidth="1"/>
    <col min="14596" max="14596" width="73" style="33" customWidth="1"/>
    <col min="14597" max="14597" width="37.6640625" style="33" customWidth="1"/>
    <col min="14598" max="14608" width="0" style="33" hidden="1" customWidth="1"/>
    <col min="14609" max="14627" width="9.33203125" style="33" customWidth="1"/>
    <col min="14628" max="14848" width="9.33203125" style="33"/>
    <col min="14849" max="14849" width="14.109375" style="33" customWidth="1"/>
    <col min="14850" max="14850" width="7.6640625" style="33" customWidth="1"/>
    <col min="14851" max="14851" width="52.109375" style="33" customWidth="1"/>
    <col min="14852" max="14852" width="73" style="33" customWidth="1"/>
    <col min="14853" max="14853" width="37.6640625" style="33" customWidth="1"/>
    <col min="14854" max="14864" width="0" style="33" hidden="1" customWidth="1"/>
    <col min="14865" max="14883" width="9.33203125" style="33" customWidth="1"/>
    <col min="14884" max="15104" width="9.33203125" style="33"/>
    <col min="15105" max="15105" width="14.109375" style="33" customWidth="1"/>
    <col min="15106" max="15106" width="7.6640625" style="33" customWidth="1"/>
    <col min="15107" max="15107" width="52.109375" style="33" customWidth="1"/>
    <col min="15108" max="15108" width="73" style="33" customWidth="1"/>
    <col min="15109" max="15109" width="37.6640625" style="33" customWidth="1"/>
    <col min="15110" max="15120" width="0" style="33" hidden="1" customWidth="1"/>
    <col min="15121" max="15139" width="9.33203125" style="33" customWidth="1"/>
    <col min="15140" max="15360" width="9.33203125" style="33"/>
    <col min="15361" max="15361" width="14.109375" style="33" customWidth="1"/>
    <col min="15362" max="15362" width="7.6640625" style="33" customWidth="1"/>
    <col min="15363" max="15363" width="52.109375" style="33" customWidth="1"/>
    <col min="15364" max="15364" width="73" style="33" customWidth="1"/>
    <col min="15365" max="15365" width="37.6640625" style="33" customWidth="1"/>
    <col min="15366" max="15376" width="0" style="33" hidden="1" customWidth="1"/>
    <col min="15377" max="15395" width="9.33203125" style="33" customWidth="1"/>
    <col min="15396" max="15616" width="9.33203125" style="33"/>
    <col min="15617" max="15617" width="14.109375" style="33" customWidth="1"/>
    <col min="15618" max="15618" width="7.6640625" style="33" customWidth="1"/>
    <col min="15619" max="15619" width="52.109375" style="33" customWidth="1"/>
    <col min="15620" max="15620" width="73" style="33" customWidth="1"/>
    <col min="15621" max="15621" width="37.6640625" style="33" customWidth="1"/>
    <col min="15622" max="15632" width="0" style="33" hidden="1" customWidth="1"/>
    <col min="15633" max="15651" width="9.33203125" style="33" customWidth="1"/>
    <col min="15652" max="15872" width="9.33203125" style="33"/>
    <col min="15873" max="15873" width="14.109375" style="33" customWidth="1"/>
    <col min="15874" max="15874" width="7.6640625" style="33" customWidth="1"/>
    <col min="15875" max="15875" width="52.109375" style="33" customWidth="1"/>
    <col min="15876" max="15876" width="73" style="33" customWidth="1"/>
    <col min="15877" max="15877" width="37.6640625" style="33" customWidth="1"/>
    <col min="15878" max="15888" width="0" style="33" hidden="1" customWidth="1"/>
    <col min="15889" max="15907" width="9.33203125" style="33" customWidth="1"/>
    <col min="15908" max="16128" width="9.33203125" style="33"/>
    <col min="16129" max="16129" width="14.109375" style="33" customWidth="1"/>
    <col min="16130" max="16130" width="7.6640625" style="33" customWidth="1"/>
    <col min="16131" max="16131" width="52.109375" style="33" customWidth="1"/>
    <col min="16132" max="16132" width="73" style="33" customWidth="1"/>
    <col min="16133" max="16133" width="37.6640625" style="33" customWidth="1"/>
    <col min="16134" max="16144" width="0" style="33" hidden="1" customWidth="1"/>
    <col min="16145" max="16163" width="9.33203125" style="33" customWidth="1"/>
    <col min="16164" max="16384" width="9.33203125" style="33"/>
  </cols>
  <sheetData>
    <row r="1" spans="1:8" ht="27.75" customHeight="1" x14ac:dyDescent="0.25">
      <c r="A1" s="224" t="s">
        <v>122</v>
      </c>
      <c r="B1" s="225"/>
      <c r="C1" s="225"/>
      <c r="D1" s="226"/>
    </row>
    <row r="2" spans="1:8" x14ac:dyDescent="0.25">
      <c r="A2" s="221" t="s">
        <v>201</v>
      </c>
      <c r="B2" s="222"/>
      <c r="C2" s="222"/>
      <c r="D2" s="223"/>
    </row>
    <row r="3" spans="1:8" x14ac:dyDescent="0.25">
      <c r="A3" s="35" t="s">
        <v>202</v>
      </c>
      <c r="B3" s="35" t="s">
        <v>203</v>
      </c>
      <c r="C3" s="35" t="s">
        <v>204</v>
      </c>
      <c r="D3" s="35" t="s">
        <v>205</v>
      </c>
    </row>
    <row r="4" spans="1:8" ht="79.2" x14ac:dyDescent="0.25">
      <c r="A4" s="36" t="s">
        <v>127</v>
      </c>
      <c r="B4" s="37">
        <v>3</v>
      </c>
      <c r="C4" s="26" t="s">
        <v>181</v>
      </c>
      <c r="D4" s="27" t="s">
        <v>206</v>
      </c>
    </row>
    <row r="5" spans="1:8" ht="66" x14ac:dyDescent="0.25">
      <c r="A5" s="36" t="s">
        <v>128</v>
      </c>
      <c r="B5" s="37">
        <v>2</v>
      </c>
      <c r="C5" s="26" t="s">
        <v>207</v>
      </c>
      <c r="D5" s="27" t="s">
        <v>208</v>
      </c>
      <c r="G5" s="38"/>
    </row>
    <row r="6" spans="1:8" ht="66" x14ac:dyDescent="0.25">
      <c r="A6" s="36" t="s">
        <v>129</v>
      </c>
      <c r="B6" s="39">
        <v>1</v>
      </c>
      <c r="C6" s="26" t="s">
        <v>182</v>
      </c>
      <c r="D6" s="27" t="s">
        <v>209</v>
      </c>
      <c r="G6" s="38"/>
    </row>
    <row r="7" spans="1:8" x14ac:dyDescent="0.25">
      <c r="A7" s="49"/>
      <c r="B7" s="50"/>
      <c r="C7" s="51"/>
      <c r="D7" s="52"/>
    </row>
    <row r="8" spans="1:8" x14ac:dyDescent="0.25">
      <c r="A8" s="221" t="s">
        <v>210</v>
      </c>
      <c r="B8" s="222"/>
      <c r="C8" s="222"/>
      <c r="D8" s="223"/>
    </row>
    <row r="9" spans="1:8" ht="23.4" customHeight="1" x14ac:dyDescent="0.25">
      <c r="A9" s="35" t="s">
        <v>202</v>
      </c>
      <c r="B9" s="35" t="s">
        <v>203</v>
      </c>
      <c r="C9" s="35" t="s">
        <v>211</v>
      </c>
      <c r="D9" s="35" t="s">
        <v>212</v>
      </c>
    </row>
    <row r="10" spans="1:8" ht="39.6" x14ac:dyDescent="0.25">
      <c r="A10" s="40" t="s">
        <v>127</v>
      </c>
      <c r="B10" s="28">
        <v>3</v>
      </c>
      <c r="C10" s="28" t="s">
        <v>183</v>
      </c>
      <c r="D10" s="29" t="s">
        <v>213</v>
      </c>
    </row>
    <row r="11" spans="1:8" ht="39.6" x14ac:dyDescent="0.25">
      <c r="A11" s="40" t="s">
        <v>128</v>
      </c>
      <c r="B11" s="28">
        <v>2</v>
      </c>
      <c r="C11" s="28" t="s">
        <v>184</v>
      </c>
      <c r="D11" s="29" t="s">
        <v>214</v>
      </c>
    </row>
    <row r="12" spans="1:8" ht="39.6" x14ac:dyDescent="0.25">
      <c r="A12" s="40" t="s">
        <v>129</v>
      </c>
      <c r="B12" s="28">
        <v>1</v>
      </c>
      <c r="C12" s="28" t="s">
        <v>185</v>
      </c>
      <c r="D12" s="29" t="s">
        <v>186</v>
      </c>
    </row>
    <row r="13" spans="1:8" x14ac:dyDescent="0.25">
      <c r="A13" s="49"/>
      <c r="B13" s="53"/>
      <c r="C13" s="53"/>
      <c r="D13" s="54"/>
      <c r="G13" s="34"/>
      <c r="H13" s="34"/>
    </row>
    <row r="14" spans="1:8" x14ac:dyDescent="0.25">
      <c r="A14" s="221" t="s">
        <v>215</v>
      </c>
      <c r="B14" s="222"/>
      <c r="C14" s="222"/>
      <c r="D14" s="223"/>
    </row>
    <row r="15" spans="1:8" ht="15.6" customHeight="1" x14ac:dyDescent="0.25">
      <c r="A15" s="49"/>
      <c r="B15" s="50"/>
      <c r="C15" s="55"/>
      <c r="D15" s="54"/>
    </row>
    <row r="16" spans="1:8" ht="15.6" customHeight="1" x14ac:dyDescent="0.25">
      <c r="A16" s="49"/>
      <c r="B16" s="50"/>
      <c r="C16" s="51"/>
      <c r="D16" s="52"/>
    </row>
    <row r="17" spans="1:63" ht="15.6" customHeight="1" x14ac:dyDescent="0.25">
      <c r="A17" s="56"/>
      <c r="B17" s="53"/>
      <c r="C17" s="51"/>
      <c r="D17" s="52"/>
    </row>
    <row r="18" spans="1:63" ht="15.6" customHeight="1" x14ac:dyDescent="0.25">
      <c r="A18" s="49"/>
      <c r="B18" s="57"/>
      <c r="C18" s="51"/>
      <c r="D18" s="52"/>
      <c r="F18" s="33"/>
    </row>
    <row r="19" spans="1:63" s="42" customFormat="1" ht="15.6" customHeight="1" x14ac:dyDescent="0.3">
      <c r="A19" s="49"/>
      <c r="B19" s="57"/>
      <c r="C19" s="58"/>
      <c r="D19" s="59"/>
      <c r="E19" s="41"/>
      <c r="F19" s="41"/>
      <c r="L19" s="43" t="s">
        <v>187</v>
      </c>
      <c r="M19" s="43" t="s">
        <v>188</v>
      </c>
      <c r="N19" s="43" t="s">
        <v>189</v>
      </c>
      <c r="O19" s="44" t="s">
        <v>190</v>
      </c>
    </row>
    <row r="20" spans="1:63" ht="15.6" customHeight="1" x14ac:dyDescent="0.25">
      <c r="A20" s="49"/>
      <c r="B20" s="57"/>
      <c r="C20" s="53"/>
      <c r="D20" s="54"/>
      <c r="L20" s="45" t="s">
        <v>191</v>
      </c>
      <c r="M20" s="46">
        <v>1</v>
      </c>
      <c r="N20" s="28" t="s">
        <v>192</v>
      </c>
      <c r="O20" s="30" t="s">
        <v>193</v>
      </c>
    </row>
    <row r="21" spans="1:63" ht="15.6" customHeight="1" x14ac:dyDescent="0.25">
      <c r="A21" s="49"/>
      <c r="B21" s="57"/>
      <c r="C21" s="53"/>
      <c r="D21" s="54"/>
      <c r="L21" s="47" t="s">
        <v>194</v>
      </c>
      <c r="M21" s="28" t="s">
        <v>195</v>
      </c>
      <c r="N21" s="28" t="s">
        <v>192</v>
      </c>
      <c r="O21" s="30" t="s">
        <v>196</v>
      </c>
    </row>
    <row r="22" spans="1:63" s="31" customFormat="1" ht="15.6" customHeight="1" x14ac:dyDescent="0.25">
      <c r="A22" s="49"/>
      <c r="B22" s="57"/>
      <c r="C22" s="60"/>
      <c r="D22" s="61"/>
      <c r="I22" s="33"/>
      <c r="J22" s="33"/>
      <c r="K22" s="33"/>
      <c r="L22" s="48" t="s">
        <v>197</v>
      </c>
      <c r="M22" s="28" t="s">
        <v>198</v>
      </c>
      <c r="N22" s="28" t="s">
        <v>199</v>
      </c>
      <c r="O22" s="30" t="s">
        <v>200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</row>
    <row r="23" spans="1:63" s="31" customFormat="1" ht="15.6" customHeight="1" x14ac:dyDescent="0.25">
      <c r="A23" s="62"/>
      <c r="B23" s="63"/>
      <c r="C23" s="63"/>
      <c r="D23" s="64"/>
      <c r="E23" s="32"/>
      <c r="F23" s="32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</row>
    <row r="24" spans="1:63" s="31" customFormat="1" ht="15.6" customHeight="1" x14ac:dyDescent="0.25">
      <c r="A24" s="62"/>
      <c r="B24" s="65"/>
      <c r="C24" s="63"/>
      <c r="D24" s="64"/>
      <c r="E24" s="32"/>
      <c r="F24" s="32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</row>
    <row r="25" spans="1:63" s="31" customFormat="1" ht="15.6" customHeight="1" x14ac:dyDescent="0.25">
      <c r="A25" s="62"/>
      <c r="B25" s="63"/>
      <c r="C25" s="63"/>
      <c r="D25" s="64"/>
      <c r="E25" s="32"/>
      <c r="F25" s="32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</row>
    <row r="26" spans="1:63" s="31" customFormat="1" ht="15.6" customHeight="1" x14ac:dyDescent="0.25">
      <c r="A26" s="62"/>
      <c r="B26" s="63"/>
      <c r="C26" s="63"/>
      <c r="D26" s="64"/>
      <c r="E26" s="32"/>
      <c r="F26" s="32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</row>
    <row r="27" spans="1:63" s="31" customFormat="1" x14ac:dyDescent="0.25">
      <c r="A27" s="62"/>
      <c r="B27" s="63"/>
      <c r="C27" s="63"/>
      <c r="D27" s="64"/>
      <c r="E27" s="32"/>
      <c r="F27" s="32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</row>
    <row r="28" spans="1:63" s="31" customFormat="1" x14ac:dyDescent="0.25">
      <c r="A28" s="66"/>
      <c r="B28" s="63"/>
      <c r="C28" s="63"/>
      <c r="D28" s="64"/>
      <c r="E28" s="32"/>
      <c r="F28" s="32"/>
      <c r="U28" s="33"/>
      <c r="V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</row>
    <row r="29" spans="1:63" s="31" customFormat="1" x14ac:dyDescent="0.25">
      <c r="A29" s="66"/>
      <c r="B29" s="63"/>
      <c r="C29" s="63"/>
      <c r="D29" s="64"/>
      <c r="E29" s="32"/>
      <c r="F29" s="32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</row>
    <row r="30" spans="1:63" s="31" customFormat="1" x14ac:dyDescent="0.25">
      <c r="A30" s="66"/>
      <c r="B30" s="63"/>
      <c r="C30" s="63"/>
      <c r="D30" s="64"/>
      <c r="E30" s="32"/>
      <c r="F30" s="32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</row>
    <row r="31" spans="1:63" s="31" customFormat="1" x14ac:dyDescent="0.25">
      <c r="A31" s="66"/>
      <c r="B31" s="63"/>
      <c r="C31" s="63"/>
      <c r="D31" s="64"/>
      <c r="E31" s="32"/>
      <c r="F31" s="32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</row>
    <row r="32" spans="1:63" s="31" customFormat="1" x14ac:dyDescent="0.25">
      <c r="A32" s="66"/>
      <c r="B32" s="63"/>
      <c r="C32" s="63"/>
      <c r="D32" s="64"/>
      <c r="E32" s="32"/>
      <c r="F32" s="32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</row>
    <row r="33" spans="1:4" x14ac:dyDescent="0.25">
      <c r="A33" s="66"/>
      <c r="B33" s="53"/>
      <c r="C33" s="53"/>
      <c r="D33" s="54"/>
    </row>
    <row r="34" spans="1:4" x14ac:dyDescent="0.25">
      <c r="A34" s="66"/>
      <c r="B34" s="53"/>
      <c r="C34" s="53"/>
      <c r="D34" s="54"/>
    </row>
    <row r="35" spans="1:4" x14ac:dyDescent="0.25">
      <c r="A35" s="67"/>
      <c r="B35" s="53"/>
      <c r="C35" s="53"/>
      <c r="D35" s="54"/>
    </row>
    <row r="36" spans="1:4" x14ac:dyDescent="0.25">
      <c r="A36" s="67"/>
      <c r="B36" s="53"/>
      <c r="C36" s="53"/>
      <c r="D36" s="54"/>
    </row>
    <row r="37" spans="1:4" x14ac:dyDescent="0.25">
      <c r="A37" s="67"/>
      <c r="B37" s="53"/>
      <c r="C37" s="53"/>
      <c r="D37" s="54"/>
    </row>
    <row r="38" spans="1:4" x14ac:dyDescent="0.25">
      <c r="A38" s="68"/>
      <c r="B38" s="69"/>
      <c r="C38" s="69"/>
      <c r="D38" s="70"/>
    </row>
  </sheetData>
  <sheetProtection password="D81E" sheet="1" objects="1" scenarios="1"/>
  <mergeCells count="4">
    <mergeCell ref="A2:D2"/>
    <mergeCell ref="A8:D8"/>
    <mergeCell ref="A14:D14"/>
    <mergeCell ref="A1:D1"/>
  </mergeCells>
  <printOptions horizontalCentered="1"/>
  <pageMargins left="0.19685039370078741" right="0.19685039370078741" top="0.31496062992125984" bottom="0.31496062992125984" header="0.15748031496062992" footer="0.19685039370078741"/>
  <pageSetup paperSize="9" scale="68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baseColWidth="10" defaultColWidth="11.44140625" defaultRowHeight="13.2" x14ac:dyDescent="0.25"/>
  <cols>
    <col min="1" max="1" width="4" style="1" bestFit="1" customWidth="1"/>
    <col min="2" max="2" width="109" style="1" customWidth="1"/>
    <col min="3" max="16384" width="11.44140625" style="1"/>
  </cols>
  <sheetData>
    <row r="1" spans="1:2" x14ac:dyDescent="0.25">
      <c r="A1" s="227" t="s">
        <v>130</v>
      </c>
      <c r="B1" s="227"/>
    </row>
    <row r="2" spans="1:2" x14ac:dyDescent="0.25">
      <c r="A2" s="22">
        <v>1</v>
      </c>
      <c r="B2" s="23" t="s">
        <v>131</v>
      </c>
    </row>
    <row r="3" spans="1:2" x14ac:dyDescent="0.25">
      <c r="A3" s="3">
        <v>1.1000000000000001</v>
      </c>
      <c r="B3" s="2" t="s">
        <v>132</v>
      </c>
    </row>
    <row r="4" spans="1:2" x14ac:dyDescent="0.25">
      <c r="A4" s="3">
        <v>1.2</v>
      </c>
      <c r="B4" s="2" t="s">
        <v>133</v>
      </c>
    </row>
    <row r="5" spans="1:2" x14ac:dyDescent="0.25">
      <c r="A5" s="3">
        <v>1.3</v>
      </c>
      <c r="B5" s="2" t="s">
        <v>134</v>
      </c>
    </row>
    <row r="6" spans="1:2" x14ac:dyDescent="0.25">
      <c r="A6" s="3">
        <v>1.4</v>
      </c>
      <c r="B6" s="2" t="s">
        <v>135</v>
      </c>
    </row>
    <row r="7" spans="1:2" x14ac:dyDescent="0.25">
      <c r="A7" s="22">
        <v>2</v>
      </c>
      <c r="B7" s="23" t="s">
        <v>136</v>
      </c>
    </row>
    <row r="8" spans="1:2" x14ac:dyDescent="0.25">
      <c r="A8" s="24">
        <v>2.1</v>
      </c>
      <c r="B8" s="2" t="s">
        <v>137</v>
      </c>
    </row>
    <row r="9" spans="1:2" x14ac:dyDescent="0.25">
      <c r="A9" s="24">
        <v>2.2000000000000002</v>
      </c>
      <c r="B9" s="2" t="s">
        <v>138</v>
      </c>
    </row>
    <row r="10" spans="1:2" x14ac:dyDescent="0.25">
      <c r="A10" s="24">
        <v>2.2999999999999998</v>
      </c>
      <c r="B10" s="2" t="s">
        <v>139</v>
      </c>
    </row>
    <row r="11" spans="1:2" x14ac:dyDescent="0.25">
      <c r="A11" s="24">
        <v>2.4</v>
      </c>
      <c r="B11" s="2" t="s">
        <v>140</v>
      </c>
    </row>
    <row r="12" spans="1:2" x14ac:dyDescent="0.25">
      <c r="A12" s="24">
        <v>2.5</v>
      </c>
      <c r="B12" s="2" t="s">
        <v>141</v>
      </c>
    </row>
    <row r="13" spans="1:2" x14ac:dyDescent="0.25">
      <c r="A13" s="24">
        <v>2.6</v>
      </c>
      <c r="B13" s="2" t="s">
        <v>142</v>
      </c>
    </row>
    <row r="14" spans="1:2" x14ac:dyDescent="0.25">
      <c r="A14" s="24">
        <v>2.7</v>
      </c>
      <c r="B14" s="2" t="s">
        <v>143</v>
      </c>
    </row>
    <row r="15" spans="1:2" x14ac:dyDescent="0.25">
      <c r="A15" s="24">
        <v>2.8</v>
      </c>
      <c r="B15" s="2" t="s">
        <v>144</v>
      </c>
    </row>
    <row r="16" spans="1:2" x14ac:dyDescent="0.25">
      <c r="A16" s="22">
        <v>3</v>
      </c>
      <c r="B16" s="23" t="s">
        <v>145</v>
      </c>
    </row>
    <row r="17" spans="1:2" x14ac:dyDescent="0.25">
      <c r="A17" s="24">
        <v>3.1</v>
      </c>
      <c r="B17" s="2" t="s">
        <v>146</v>
      </c>
    </row>
    <row r="18" spans="1:2" x14ac:dyDescent="0.25">
      <c r="A18" s="24">
        <v>3.2</v>
      </c>
      <c r="B18" s="2" t="s">
        <v>147</v>
      </c>
    </row>
    <row r="19" spans="1:2" x14ac:dyDescent="0.25">
      <c r="A19" s="24">
        <v>3.3</v>
      </c>
      <c r="B19" s="2" t="s">
        <v>148</v>
      </c>
    </row>
    <row r="20" spans="1:2" x14ac:dyDescent="0.25">
      <c r="A20" s="24">
        <v>3.4</v>
      </c>
      <c r="B20" s="2" t="s">
        <v>149</v>
      </c>
    </row>
    <row r="21" spans="1:2" x14ac:dyDescent="0.25">
      <c r="A21" s="24">
        <v>3.5</v>
      </c>
      <c r="B21" s="25" t="s">
        <v>150</v>
      </c>
    </row>
    <row r="22" spans="1:2" x14ac:dyDescent="0.25">
      <c r="A22" s="22">
        <v>4</v>
      </c>
      <c r="B22" s="23" t="s">
        <v>151</v>
      </c>
    </row>
    <row r="23" spans="1:2" x14ac:dyDescent="0.25">
      <c r="A23" s="24">
        <v>4.0999999999999996</v>
      </c>
      <c r="B23" s="2" t="s">
        <v>152</v>
      </c>
    </row>
    <row r="24" spans="1:2" x14ac:dyDescent="0.25">
      <c r="A24" s="24">
        <v>4.2</v>
      </c>
      <c r="B24" s="2" t="s">
        <v>153</v>
      </c>
    </row>
    <row r="25" spans="1:2" x14ac:dyDescent="0.25">
      <c r="A25" s="24">
        <v>4.3</v>
      </c>
      <c r="B25" s="2" t="s">
        <v>154</v>
      </c>
    </row>
    <row r="26" spans="1:2" x14ac:dyDescent="0.25">
      <c r="A26" s="24">
        <v>4.4000000000000004</v>
      </c>
      <c r="B26" s="2" t="s">
        <v>155</v>
      </c>
    </row>
    <row r="27" spans="1:2" x14ac:dyDescent="0.25">
      <c r="A27" s="24">
        <v>4.5999999999999996</v>
      </c>
      <c r="B27" s="2" t="s">
        <v>156</v>
      </c>
    </row>
    <row r="28" spans="1:2" x14ac:dyDescent="0.25">
      <c r="A28" s="24">
        <v>4.7</v>
      </c>
      <c r="B28" s="2" t="s">
        <v>157</v>
      </c>
    </row>
    <row r="29" spans="1:2" x14ac:dyDescent="0.25">
      <c r="A29" s="22">
        <v>5</v>
      </c>
      <c r="B29" s="23" t="s">
        <v>158</v>
      </c>
    </row>
    <row r="30" spans="1:2" x14ac:dyDescent="0.25">
      <c r="A30" s="24">
        <v>5.0999999999999996</v>
      </c>
      <c r="B30" s="2" t="s">
        <v>159</v>
      </c>
    </row>
    <row r="31" spans="1:2" x14ac:dyDescent="0.25">
      <c r="A31" s="24">
        <v>5.2</v>
      </c>
      <c r="B31" s="21" t="s">
        <v>160</v>
      </c>
    </row>
    <row r="32" spans="1:2" x14ac:dyDescent="0.25">
      <c r="A32" s="24">
        <v>5.3</v>
      </c>
      <c r="B32" s="2" t="s">
        <v>161</v>
      </c>
    </row>
    <row r="33" spans="1:2" x14ac:dyDescent="0.25">
      <c r="A33" s="24">
        <v>5.4</v>
      </c>
      <c r="B33" s="2" t="s">
        <v>162</v>
      </c>
    </row>
    <row r="34" spans="1:2" x14ac:dyDescent="0.25">
      <c r="A34" s="24">
        <v>5.5</v>
      </c>
      <c r="B34" s="2" t="s">
        <v>163</v>
      </c>
    </row>
    <row r="35" spans="1:2" x14ac:dyDescent="0.25">
      <c r="A35" s="24">
        <v>5.6</v>
      </c>
      <c r="B35" s="2" t="s">
        <v>164</v>
      </c>
    </row>
    <row r="36" spans="1:2" x14ac:dyDescent="0.25">
      <c r="A36" s="22">
        <v>6</v>
      </c>
      <c r="B36" s="23" t="s">
        <v>165</v>
      </c>
    </row>
    <row r="37" spans="1:2" x14ac:dyDescent="0.25">
      <c r="A37" s="24">
        <v>6.1</v>
      </c>
      <c r="B37" s="2" t="s">
        <v>166</v>
      </c>
    </row>
    <row r="38" spans="1:2" x14ac:dyDescent="0.25">
      <c r="A38" s="24">
        <v>6.2</v>
      </c>
      <c r="B38" s="2" t="s">
        <v>167</v>
      </c>
    </row>
    <row r="39" spans="1:2" x14ac:dyDescent="0.25">
      <c r="A39" s="24">
        <v>6.3</v>
      </c>
      <c r="B39" s="2" t="s">
        <v>168</v>
      </c>
    </row>
    <row r="40" spans="1:2" x14ac:dyDescent="0.25">
      <c r="A40" s="24">
        <v>6.4</v>
      </c>
      <c r="B40" s="2" t="s">
        <v>169</v>
      </c>
    </row>
    <row r="41" spans="1:2" x14ac:dyDescent="0.25">
      <c r="A41" s="24">
        <v>6.5</v>
      </c>
      <c r="B41" s="2" t="s">
        <v>170</v>
      </c>
    </row>
    <row r="42" spans="1:2" x14ac:dyDescent="0.25">
      <c r="A42" s="24">
        <v>6.6</v>
      </c>
      <c r="B42" s="2" t="s">
        <v>171</v>
      </c>
    </row>
    <row r="43" spans="1:2" x14ac:dyDescent="0.25">
      <c r="A43" s="22">
        <v>7</v>
      </c>
      <c r="B43" s="23" t="s">
        <v>172</v>
      </c>
    </row>
    <row r="44" spans="1:2" x14ac:dyDescent="0.25">
      <c r="A44" s="24">
        <v>7.1</v>
      </c>
      <c r="B44" s="2" t="s">
        <v>173</v>
      </c>
    </row>
    <row r="45" spans="1:2" x14ac:dyDescent="0.25">
      <c r="A45" s="24">
        <v>7.2</v>
      </c>
      <c r="B45" s="2" t="s">
        <v>174</v>
      </c>
    </row>
    <row r="46" spans="1:2" x14ac:dyDescent="0.25">
      <c r="A46" s="24">
        <v>7.3</v>
      </c>
      <c r="B46" s="2" t="s">
        <v>175</v>
      </c>
    </row>
    <row r="47" spans="1:2" x14ac:dyDescent="0.25">
      <c r="A47" s="24">
        <v>7.4</v>
      </c>
      <c r="B47" s="2" t="s">
        <v>176</v>
      </c>
    </row>
    <row r="48" spans="1:2" x14ac:dyDescent="0.25">
      <c r="A48" s="24">
        <v>7.5</v>
      </c>
      <c r="B48" s="2" t="s">
        <v>177</v>
      </c>
    </row>
    <row r="49" spans="1:2" x14ac:dyDescent="0.25">
      <c r="A49" s="24">
        <v>7.6</v>
      </c>
      <c r="B49" s="2" t="s">
        <v>178</v>
      </c>
    </row>
    <row r="50" spans="1:2" x14ac:dyDescent="0.25">
      <c r="A50" s="22">
        <v>8</v>
      </c>
      <c r="B50" s="23" t="s">
        <v>179</v>
      </c>
    </row>
    <row r="51" spans="1:2" x14ac:dyDescent="0.25">
      <c r="A51" s="24">
        <v>8.1</v>
      </c>
      <c r="B51" s="20" t="s">
        <v>180</v>
      </c>
    </row>
  </sheetData>
  <sheetProtection password="D9DE" sheet="1" objects="1" scenarios="1"/>
  <mergeCells count="1">
    <mergeCell ref="A1:B1"/>
  </mergeCells>
  <printOptions horizontalCentered="1"/>
  <pageMargins left="0.19685039370078741" right="0.19685039370078741" top="0.31496062992125984" bottom="0.31496062992125984" header="0.19685039370078741" footer="0.19685039370078741"/>
  <pageSetup paperSize="9" scale="88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3"/>
  <sheetViews>
    <sheetView showGridLines="0" view="pageBreakPreview" zoomScale="120" zoomScaleNormal="100" zoomScaleSheetLayoutView="120" workbookViewId="0">
      <selection activeCell="E23" sqref="E23"/>
    </sheetView>
  </sheetViews>
  <sheetFormatPr baseColWidth="10" defaultRowHeight="14.4" x14ac:dyDescent="0.3"/>
  <cols>
    <col min="14" max="14" width="12.44140625" customWidth="1"/>
  </cols>
  <sheetData>
    <row r="1" spans="1:16" x14ac:dyDescent="0.3">
      <c r="A1" s="228" t="s">
        <v>217</v>
      </c>
      <c r="B1" s="229"/>
      <c r="C1" s="229"/>
      <c r="D1" s="229"/>
      <c r="E1" s="229"/>
      <c r="F1" s="229"/>
      <c r="G1" s="229"/>
      <c r="H1" s="229"/>
      <c r="I1" s="229"/>
      <c r="J1" s="229"/>
      <c r="K1" s="230"/>
      <c r="L1" s="72"/>
      <c r="M1" s="72"/>
      <c r="N1" s="73"/>
    </row>
    <row r="2" spans="1:16" x14ac:dyDescent="0.3">
      <c r="A2" s="71"/>
      <c r="B2" s="72"/>
      <c r="C2" s="72"/>
      <c r="D2" s="72"/>
      <c r="E2" s="72"/>
      <c r="F2" s="72"/>
      <c r="G2" s="72"/>
      <c r="H2" s="72"/>
      <c r="I2" s="72"/>
      <c r="J2" s="72"/>
      <c r="K2" s="73"/>
      <c r="L2" s="72"/>
      <c r="M2" s="72"/>
      <c r="N2" s="72"/>
      <c r="O2" s="72"/>
      <c r="P2" s="72"/>
    </row>
    <row r="3" spans="1:16" x14ac:dyDescent="0.3">
      <c r="A3" s="71"/>
      <c r="B3" s="72"/>
      <c r="C3" s="72"/>
      <c r="D3" s="72"/>
      <c r="E3" s="72"/>
      <c r="F3" s="72"/>
      <c r="G3" s="72"/>
      <c r="H3" s="72"/>
      <c r="I3" s="72"/>
      <c r="J3" s="72"/>
      <c r="K3" s="73"/>
      <c r="L3" s="72"/>
      <c r="M3" s="72"/>
      <c r="N3" s="72"/>
      <c r="O3" s="72"/>
      <c r="P3" s="72"/>
    </row>
    <row r="4" spans="1:16" x14ac:dyDescent="0.3">
      <c r="A4" s="71"/>
      <c r="B4" s="72"/>
      <c r="C4" s="72"/>
      <c r="D4" s="72"/>
      <c r="E4" s="72"/>
      <c r="F4" s="72"/>
      <c r="G4" s="72"/>
      <c r="H4" s="72"/>
      <c r="I4" s="77"/>
      <c r="J4" s="72"/>
      <c r="K4" s="73"/>
      <c r="L4" s="72"/>
      <c r="M4" s="72"/>
      <c r="N4" s="72"/>
      <c r="O4" s="72"/>
      <c r="P4" s="72"/>
    </row>
    <row r="5" spans="1:16" x14ac:dyDescent="0.3">
      <c r="A5" s="71"/>
      <c r="B5" s="72"/>
      <c r="C5" s="72"/>
      <c r="D5" s="72"/>
      <c r="E5" s="72"/>
      <c r="F5" s="72"/>
      <c r="G5" s="72"/>
      <c r="H5" s="72"/>
      <c r="I5" s="72"/>
      <c r="J5" s="72"/>
      <c r="K5" s="73"/>
      <c r="L5" s="72"/>
      <c r="M5" s="72"/>
      <c r="N5" s="72"/>
      <c r="O5" s="72"/>
      <c r="P5" s="72"/>
    </row>
    <row r="6" spans="1:16" x14ac:dyDescent="0.3">
      <c r="A6" s="71"/>
      <c r="B6" s="72"/>
      <c r="C6" s="72"/>
      <c r="D6" s="72"/>
      <c r="E6" s="72"/>
      <c r="F6" s="72"/>
      <c r="G6" s="72"/>
      <c r="H6" s="72"/>
      <c r="I6" s="72"/>
      <c r="J6" s="72"/>
      <c r="K6" s="73"/>
      <c r="L6" s="72"/>
      <c r="M6" s="72"/>
      <c r="N6" s="72"/>
      <c r="O6" s="72"/>
      <c r="P6" s="72"/>
    </row>
    <row r="7" spans="1:16" x14ac:dyDescent="0.3">
      <c r="A7" s="71"/>
      <c r="B7" s="72"/>
      <c r="C7" s="72"/>
      <c r="D7" s="72"/>
      <c r="E7" s="72"/>
      <c r="F7" s="72"/>
      <c r="G7" s="72"/>
      <c r="H7" s="72"/>
      <c r="I7" s="72"/>
      <c r="J7" s="72"/>
      <c r="K7" s="73"/>
      <c r="L7" s="72"/>
      <c r="M7" s="72"/>
      <c r="N7" s="72"/>
      <c r="O7" s="72"/>
      <c r="P7" s="72"/>
    </row>
    <row r="8" spans="1:16" x14ac:dyDescent="0.3">
      <c r="A8" s="71"/>
      <c r="B8" s="72"/>
      <c r="C8" s="72"/>
      <c r="D8" s="72"/>
      <c r="E8" s="72"/>
      <c r="F8" s="72"/>
      <c r="G8" s="72"/>
      <c r="H8" s="72"/>
      <c r="I8" s="72"/>
      <c r="J8" s="72"/>
      <c r="K8" s="73"/>
      <c r="L8" s="72"/>
      <c r="M8" s="72"/>
      <c r="N8" s="72"/>
      <c r="O8" s="72"/>
      <c r="P8" s="72"/>
    </row>
    <row r="9" spans="1:16" x14ac:dyDescent="0.3">
      <c r="A9" s="71"/>
      <c r="B9" s="72"/>
      <c r="C9" s="72"/>
      <c r="D9" s="72"/>
      <c r="E9" s="72"/>
      <c r="F9" s="72"/>
      <c r="G9" s="72"/>
      <c r="H9" s="72"/>
      <c r="I9" s="72"/>
      <c r="J9" s="72"/>
      <c r="K9" s="73"/>
      <c r="L9" s="72"/>
      <c r="M9" s="72"/>
      <c r="N9" s="72"/>
      <c r="O9" s="72"/>
      <c r="P9" s="72"/>
    </row>
    <row r="10" spans="1:16" x14ac:dyDescent="0.3">
      <c r="A10" s="71"/>
      <c r="B10" s="72"/>
      <c r="C10" s="72"/>
      <c r="D10" s="72"/>
      <c r="E10" s="72"/>
      <c r="F10" s="72"/>
      <c r="G10" s="72"/>
      <c r="H10" s="72"/>
      <c r="I10" s="72"/>
      <c r="J10" s="72"/>
      <c r="K10" s="73"/>
      <c r="L10" s="72"/>
      <c r="M10" s="72"/>
      <c r="N10" s="72"/>
      <c r="O10" s="72"/>
      <c r="P10" s="72"/>
    </row>
    <row r="11" spans="1:16" x14ac:dyDescent="0.3">
      <c r="A11" s="71"/>
      <c r="B11" s="72"/>
      <c r="C11" s="72"/>
      <c r="D11" s="72"/>
      <c r="E11" s="72"/>
      <c r="F11" s="72"/>
      <c r="G11" s="72"/>
      <c r="H11" s="72"/>
      <c r="I11" s="72"/>
      <c r="J11" s="72"/>
      <c r="K11" s="73"/>
      <c r="L11" s="72"/>
      <c r="M11" s="72"/>
      <c r="N11" s="72"/>
      <c r="O11" s="72"/>
      <c r="P11" s="72"/>
    </row>
    <row r="12" spans="1:16" x14ac:dyDescent="0.3">
      <c r="A12" s="71"/>
      <c r="B12" s="72"/>
      <c r="C12" s="72"/>
      <c r="D12" s="72"/>
      <c r="E12" s="72"/>
      <c r="F12" s="72"/>
      <c r="G12" s="72"/>
      <c r="H12" s="72"/>
      <c r="I12" s="72"/>
      <c r="J12" s="72"/>
      <c r="K12" s="73"/>
      <c r="L12" s="72"/>
      <c r="M12" s="72"/>
      <c r="N12" s="72"/>
      <c r="O12" s="72"/>
      <c r="P12" s="72"/>
    </row>
    <row r="13" spans="1:16" x14ac:dyDescent="0.3">
      <c r="A13" s="71"/>
      <c r="B13" s="72"/>
      <c r="C13" s="72"/>
      <c r="D13" s="72"/>
      <c r="E13" s="72"/>
      <c r="F13" s="72"/>
      <c r="G13" s="72"/>
      <c r="H13" s="72"/>
      <c r="I13" s="72"/>
      <c r="J13" s="72"/>
      <c r="K13" s="73"/>
      <c r="L13" s="72"/>
      <c r="M13" s="72"/>
      <c r="N13" s="72"/>
      <c r="O13" s="72"/>
      <c r="P13" s="72"/>
    </row>
    <row r="14" spans="1:16" x14ac:dyDescent="0.3">
      <c r="A14" s="71"/>
      <c r="B14" s="72"/>
      <c r="C14" s="72"/>
      <c r="D14" s="72"/>
      <c r="E14" s="72"/>
      <c r="F14" s="72"/>
      <c r="G14" s="72"/>
      <c r="H14" s="72"/>
      <c r="I14" s="72"/>
      <c r="J14" s="72"/>
      <c r="K14" s="73"/>
      <c r="L14" s="72"/>
      <c r="M14" s="72"/>
      <c r="N14" s="72"/>
      <c r="O14" s="72"/>
      <c r="P14" s="72"/>
    </row>
    <row r="15" spans="1:16" x14ac:dyDescent="0.3">
      <c r="A15" s="71"/>
      <c r="B15" s="72"/>
      <c r="C15" s="72"/>
      <c r="D15" s="72"/>
      <c r="E15" s="72"/>
      <c r="F15" s="72"/>
      <c r="G15" s="72"/>
      <c r="H15" s="72"/>
      <c r="I15" s="72"/>
      <c r="J15" s="72"/>
      <c r="K15" s="73"/>
      <c r="L15" s="72"/>
      <c r="M15" s="72"/>
      <c r="N15" s="72"/>
      <c r="O15" s="72"/>
      <c r="P15" s="72"/>
    </row>
    <row r="16" spans="1:16" x14ac:dyDescent="0.3">
      <c r="A16" s="71"/>
      <c r="B16" s="72"/>
      <c r="C16" s="72"/>
      <c r="D16" s="72"/>
      <c r="E16" s="72"/>
      <c r="F16" s="72"/>
      <c r="G16" s="72"/>
      <c r="H16" s="72"/>
      <c r="I16" s="72"/>
      <c r="J16" s="72"/>
      <c r="K16" s="73"/>
      <c r="L16" s="72"/>
      <c r="M16" s="72"/>
      <c r="N16" s="72"/>
      <c r="O16" s="72"/>
      <c r="P16" s="72"/>
    </row>
    <row r="17" spans="1:16" x14ac:dyDescent="0.3">
      <c r="A17" s="71"/>
      <c r="B17" s="72"/>
      <c r="C17" s="72"/>
      <c r="D17" s="72"/>
      <c r="E17" s="72"/>
      <c r="F17" s="72"/>
      <c r="G17" s="72"/>
      <c r="H17" s="72"/>
      <c r="I17" s="72"/>
      <c r="J17" s="72"/>
      <c r="K17" s="73"/>
      <c r="L17" s="72"/>
      <c r="M17" s="72"/>
      <c r="N17" s="72"/>
      <c r="O17" s="72"/>
      <c r="P17" s="72"/>
    </row>
    <row r="18" spans="1:16" x14ac:dyDescent="0.3">
      <c r="A18" s="71"/>
      <c r="B18" s="72"/>
      <c r="C18" s="72"/>
      <c r="D18" s="72"/>
      <c r="E18" s="72"/>
      <c r="F18" s="72"/>
      <c r="G18" s="72"/>
      <c r="H18" s="72"/>
      <c r="I18" s="72"/>
      <c r="J18" s="72"/>
      <c r="K18" s="73"/>
      <c r="L18" s="72"/>
      <c r="M18" s="72"/>
      <c r="N18" s="72"/>
      <c r="O18" s="72"/>
      <c r="P18" s="72"/>
    </row>
    <row r="19" spans="1:16" x14ac:dyDescent="0.3">
      <c r="A19" s="71"/>
      <c r="B19" s="72"/>
      <c r="C19" s="72"/>
      <c r="D19" s="72"/>
      <c r="E19" s="72"/>
      <c r="F19" s="72"/>
      <c r="G19" s="72"/>
      <c r="H19" s="72"/>
      <c r="I19" s="72"/>
      <c r="J19" s="72"/>
      <c r="K19" s="73"/>
      <c r="L19" s="72"/>
      <c r="M19" s="72"/>
      <c r="N19" s="72"/>
      <c r="O19" s="72"/>
      <c r="P19" s="72"/>
    </row>
    <row r="20" spans="1:16" x14ac:dyDescent="0.3">
      <c r="A20" s="71"/>
      <c r="B20" s="72"/>
      <c r="C20" s="72"/>
      <c r="D20" s="72"/>
      <c r="E20" s="72"/>
      <c r="F20" s="72"/>
      <c r="G20" s="72"/>
      <c r="H20" s="72"/>
      <c r="I20" s="72"/>
      <c r="J20" s="72"/>
      <c r="K20" s="73"/>
      <c r="L20" s="72"/>
      <c r="M20" s="72"/>
      <c r="N20" s="72"/>
      <c r="O20" s="72"/>
      <c r="P20" s="72"/>
    </row>
    <row r="21" spans="1:16" x14ac:dyDescent="0.3">
      <c r="A21" s="74"/>
      <c r="B21" s="75"/>
      <c r="C21" s="75"/>
      <c r="D21" s="75"/>
      <c r="E21" s="75"/>
      <c r="F21" s="75"/>
      <c r="G21" s="75"/>
      <c r="H21" s="75"/>
      <c r="I21" s="75"/>
      <c r="J21" s="75"/>
      <c r="K21" s="76"/>
      <c r="L21" s="72"/>
      <c r="M21" s="72"/>
      <c r="N21" s="72"/>
      <c r="O21" s="72"/>
      <c r="P21" s="72"/>
    </row>
    <row r="22" spans="1:16" x14ac:dyDescent="0.3">
      <c r="A22" s="71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</row>
    <row r="23" spans="1:16" x14ac:dyDescent="0.3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</row>
    <row r="24" spans="1:16" x14ac:dyDescent="0.3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</row>
    <row r="25" spans="1:16" x14ac:dyDescent="0.3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</row>
    <row r="26" spans="1:16" x14ac:dyDescent="0.3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</row>
    <row r="27" spans="1:16" ht="11.25" customHeight="1" x14ac:dyDescent="0.3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</row>
    <row r="28" spans="1:16" x14ac:dyDescent="0.3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</row>
    <row r="29" spans="1:16" x14ac:dyDescent="0.3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</row>
    <row r="30" spans="1:16" x14ac:dyDescent="0.3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</row>
    <row r="31" spans="1:16" x14ac:dyDescent="0.3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</row>
    <row r="32" spans="1:16" x14ac:dyDescent="0.3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</row>
    <row r="33" spans="1:16" x14ac:dyDescent="0.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</row>
  </sheetData>
  <sheetProtection password="D81E" sheet="1" objects="1" scenarios="1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MA'!Área_de_impresión</vt:lpstr>
      <vt:lpstr>'Nivel Riesgo SSO'!Área_de_impresión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Carlos Gabriel Mego Armas</cp:lastModifiedBy>
  <cp:lastPrinted>2019-12-19T19:37:11Z</cp:lastPrinted>
  <dcterms:created xsi:type="dcterms:W3CDTF">2019-12-18T18:45:39Z</dcterms:created>
  <dcterms:modified xsi:type="dcterms:W3CDTF">2019-12-20T21:33:15Z</dcterms:modified>
</cp:coreProperties>
</file>